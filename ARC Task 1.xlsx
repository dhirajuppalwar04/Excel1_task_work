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35703FD-13B0-42B0-A34E-A22114F4CA55}" xr6:coauthVersionLast="47" xr6:coauthVersionMax="47" xr10:uidLastSave="{00000000-0000-0000-0000-000000000000}"/>
  <bookViews>
    <workbookView xWindow="-108" yWindow="-108" windowWidth="23256" windowHeight="12456" firstSheet="7" activeTab="13" xr2:uid="{00000000-000D-0000-FFFF-FFFF00000000}"/>
  </bookViews>
  <sheets>
    <sheet name="VEDITA" sheetId="1" r:id="rId1"/>
    <sheet name="NIKHIL G" sheetId="2" r:id="rId2"/>
    <sheet name="Rabiya KHAN" sheetId="3" r:id="rId3"/>
    <sheet name="Sheet29" sheetId="4" r:id="rId4"/>
    <sheet name="Isha Dubey" sheetId="5" r:id="rId5"/>
    <sheet name="Nisha Bhagat" sheetId="6" r:id="rId6"/>
    <sheet name="Pranjali Ramteke" sheetId="7" r:id="rId7"/>
    <sheet name="Sheet20" sheetId="8" r:id="rId8"/>
    <sheet name="RUCHITA" sheetId="9" r:id="rId9"/>
    <sheet name="Sheet12" sheetId="10" r:id="rId10"/>
    <sheet name="Sandesh" sheetId="11" r:id="rId11"/>
    <sheet name="Asmit Bhandarkar" sheetId="12" r:id="rId12"/>
    <sheet name="ATHARV" sheetId="13" r:id="rId13"/>
    <sheet name="Dhiraj Uppalwar" sheetId="14" r:id="rId14"/>
    <sheet name="Ishika bhisikar" sheetId="15" r:id="rId15"/>
    <sheet name="Ashish_Bonde" sheetId="16" r:id="rId16"/>
    <sheet name="Aniket Manvate" sheetId="17" r:id="rId17"/>
    <sheet name="SHWET_DOMDE" sheetId="18" r:id="rId18"/>
    <sheet name="Sheet3" sheetId="19" r:id="rId19"/>
    <sheet name="Divyani Ingle" sheetId="20" r:id="rId20"/>
    <sheet name="om ruikar" sheetId="21" r:id="rId21"/>
    <sheet name="Samruddhi Bhore" sheetId="22" r:id="rId22"/>
    <sheet name="Ayush_Mendhe" sheetId="23" r:id="rId23"/>
    <sheet name="SANSKRUTI A. DHOLE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5" i="23" l="1"/>
  <c r="L24" i="23"/>
  <c r="L23" i="23"/>
  <c r="L22" i="23"/>
  <c r="L21" i="23"/>
  <c r="L19" i="23"/>
  <c r="L18" i="23"/>
  <c r="L17" i="23"/>
  <c r="L16" i="23"/>
  <c r="L15" i="23"/>
  <c r="H13" i="23"/>
  <c r="H57" i="22"/>
  <c r="H56" i="22"/>
  <c r="H55" i="22"/>
  <c r="H54" i="22"/>
  <c r="H53" i="22"/>
  <c r="H51" i="22"/>
  <c r="H50" i="22"/>
  <c r="H49" i="22"/>
  <c r="H48" i="22"/>
  <c r="H47" i="22"/>
  <c r="H45" i="22"/>
  <c r="H44" i="22"/>
  <c r="H43" i="22"/>
  <c r="H42" i="22"/>
  <c r="H41" i="22"/>
  <c r="H39" i="22"/>
  <c r="H38" i="22"/>
  <c r="H37" i="22"/>
  <c r="H36" i="22"/>
  <c r="H35" i="22"/>
  <c r="H34" i="22"/>
  <c r="H33" i="22"/>
  <c r="H32" i="22"/>
  <c r="H31" i="22"/>
  <c r="H30" i="22"/>
  <c r="H29" i="22"/>
  <c r="H27" i="22"/>
  <c r="H26" i="22"/>
  <c r="H25" i="22"/>
  <c r="H24" i="22"/>
  <c r="H23" i="22"/>
  <c r="H21" i="22"/>
  <c r="H20" i="22"/>
  <c r="H19" i="22"/>
  <c r="H18" i="22"/>
  <c r="H17" i="22"/>
  <c r="H15" i="22"/>
  <c r="E15" i="22"/>
  <c r="H14" i="22"/>
  <c r="E14" i="22"/>
  <c r="H13" i="22"/>
  <c r="E13" i="22"/>
  <c r="H12" i="22"/>
  <c r="E12" i="22"/>
  <c r="H11" i="22"/>
  <c r="E11" i="22"/>
  <c r="H9" i="22"/>
  <c r="H8" i="22"/>
  <c r="H7" i="22"/>
  <c r="H6" i="22"/>
  <c r="H5" i="22"/>
  <c r="K79" i="21"/>
  <c r="K78" i="21"/>
  <c r="K77" i="21"/>
  <c r="K76" i="21"/>
  <c r="K75" i="21"/>
  <c r="K73" i="21"/>
  <c r="K72" i="21"/>
  <c r="K71" i="21"/>
  <c r="K70" i="21"/>
  <c r="K69" i="21"/>
  <c r="K67" i="21"/>
  <c r="K66" i="21"/>
  <c r="K65" i="21"/>
  <c r="K64" i="21"/>
  <c r="K63" i="21"/>
  <c r="K61" i="21"/>
  <c r="K60" i="21"/>
  <c r="K59" i="21"/>
  <c r="K58" i="21"/>
  <c r="K57" i="21"/>
  <c r="K55" i="21"/>
  <c r="K54" i="21"/>
  <c r="K53" i="21"/>
  <c r="K52" i="21"/>
  <c r="K51" i="21"/>
  <c r="K49" i="21"/>
  <c r="K48" i="21"/>
  <c r="K47" i="21"/>
  <c r="K46" i="21"/>
  <c r="K45" i="21"/>
  <c r="K43" i="21"/>
  <c r="K42" i="21"/>
  <c r="K41" i="21"/>
  <c r="K40" i="21"/>
  <c r="K39" i="21"/>
  <c r="K37" i="21"/>
  <c r="K36" i="21"/>
  <c r="K35" i="21"/>
  <c r="K34" i="21"/>
  <c r="K33" i="21"/>
  <c r="K31" i="21"/>
  <c r="K30" i="21"/>
  <c r="K29" i="21"/>
  <c r="K28" i="21"/>
  <c r="K27" i="21"/>
  <c r="K25" i="21"/>
  <c r="K24" i="21"/>
  <c r="K23" i="21"/>
  <c r="K22" i="21"/>
  <c r="K21" i="21"/>
  <c r="K19" i="21"/>
  <c r="K18" i="21"/>
  <c r="K17" i="21"/>
  <c r="K16" i="21"/>
  <c r="K15" i="21"/>
  <c r="K13" i="21"/>
  <c r="K12" i="21"/>
  <c r="K10" i="21"/>
  <c r="L8" i="21"/>
  <c r="K8" i="21"/>
  <c r="K5" i="21"/>
  <c r="F94" i="20"/>
  <c r="F90" i="20"/>
  <c r="F88" i="20"/>
  <c r="F86" i="20"/>
  <c r="F84" i="20"/>
  <c r="F83" i="20"/>
  <c r="F82" i="20"/>
  <c r="F81" i="20"/>
  <c r="F80" i="20"/>
  <c r="F78" i="20"/>
  <c r="F77" i="20"/>
  <c r="F76" i="20"/>
  <c r="F74" i="20"/>
  <c r="F72" i="20"/>
  <c r="F69" i="20"/>
  <c r="F66" i="20"/>
  <c r="F63" i="20"/>
  <c r="F60" i="20"/>
  <c r="F57" i="20"/>
  <c r="F55" i="20"/>
  <c r="F54" i="20"/>
  <c r="F53" i="20"/>
  <c r="F52" i="20"/>
  <c r="F51" i="20"/>
  <c r="F49" i="20"/>
  <c r="F47" i="20"/>
  <c r="F45" i="20"/>
  <c r="F43" i="20"/>
  <c r="F42" i="20"/>
  <c r="F40" i="20"/>
  <c r="F38" i="20"/>
  <c r="F36" i="20"/>
  <c r="F35" i="20"/>
  <c r="F34" i="20"/>
  <c r="F32" i="20"/>
  <c r="F31" i="20"/>
  <c r="F30" i="20"/>
  <c r="F29" i="20"/>
  <c r="F28" i="20"/>
  <c r="F26" i="20"/>
  <c r="F25" i="20"/>
  <c r="F24" i="20"/>
  <c r="F23" i="20"/>
  <c r="F22" i="20"/>
  <c r="F20" i="20"/>
  <c r="F19" i="20"/>
  <c r="F18" i="20"/>
  <c r="F17" i="20"/>
  <c r="F16" i="20"/>
  <c r="F13" i="20"/>
  <c r="F11" i="20"/>
  <c r="F9" i="20"/>
  <c r="F7" i="20"/>
  <c r="F5" i="20"/>
  <c r="H25" i="19"/>
  <c r="H24" i="19"/>
  <c r="H23" i="19"/>
  <c r="H22" i="19"/>
  <c r="H21" i="19"/>
  <c r="H5" i="19"/>
  <c r="G9" i="17"/>
  <c r="G8" i="17"/>
  <c r="G7" i="17"/>
  <c r="G92" i="16"/>
  <c r="G91" i="16"/>
  <c r="G90" i="16"/>
  <c r="G89" i="16"/>
  <c r="G88" i="16"/>
  <c r="G86" i="16"/>
  <c r="G85" i="16"/>
  <c r="G84" i="16"/>
  <c r="G83" i="16"/>
  <c r="G82" i="16"/>
  <c r="G80" i="16"/>
  <c r="G79" i="16"/>
  <c r="G78" i="16"/>
  <c r="G77" i="16"/>
  <c r="G76" i="16"/>
  <c r="G74" i="16"/>
  <c r="G73" i="16"/>
  <c r="G72" i="16"/>
  <c r="G71" i="16"/>
  <c r="G70" i="16"/>
  <c r="G68" i="16"/>
  <c r="G67" i="16"/>
  <c r="G66" i="16"/>
  <c r="G65" i="16"/>
  <c r="G64" i="16"/>
  <c r="G62" i="16"/>
  <c r="G61" i="16"/>
  <c r="G60" i="16"/>
  <c r="G59" i="16"/>
  <c r="G58" i="16"/>
  <c r="G56" i="16"/>
  <c r="G55" i="16"/>
  <c r="G54" i="16"/>
  <c r="G53" i="16"/>
  <c r="G52" i="16"/>
  <c r="G50" i="16"/>
  <c r="G49" i="16"/>
  <c r="G48" i="16"/>
  <c r="G47" i="16"/>
  <c r="G46" i="16"/>
  <c r="G44" i="16"/>
  <c r="G43" i="16"/>
  <c r="G42" i="16"/>
  <c r="G41" i="16"/>
  <c r="G40" i="16"/>
  <c r="G38" i="16"/>
  <c r="G37" i="16"/>
  <c r="G36" i="16"/>
  <c r="G35" i="16"/>
  <c r="G34" i="16"/>
  <c r="G31" i="16"/>
  <c r="G29" i="16"/>
  <c r="G27" i="16"/>
  <c r="G25" i="16"/>
  <c r="G23" i="16"/>
  <c r="G20" i="16"/>
  <c r="G18" i="16"/>
  <c r="G16" i="16"/>
  <c r="G14" i="16"/>
  <c r="G12" i="16"/>
  <c r="G10" i="16"/>
  <c r="G9" i="16"/>
  <c r="G8" i="16"/>
  <c r="G7" i="16"/>
  <c r="G6" i="16"/>
  <c r="H33" i="15"/>
  <c r="H32" i="15"/>
  <c r="H31" i="15"/>
  <c r="H30" i="15"/>
  <c r="H29" i="15"/>
  <c r="H27" i="15"/>
  <c r="H26" i="15"/>
  <c r="H25" i="15"/>
  <c r="H24" i="15"/>
  <c r="H23" i="15"/>
  <c r="H21" i="15"/>
  <c r="H20" i="15"/>
  <c r="H19" i="15"/>
  <c r="H18" i="15"/>
  <c r="H17" i="15"/>
  <c r="H15" i="15"/>
  <c r="H14" i="15"/>
  <c r="H13" i="15"/>
  <c r="H12" i="15"/>
  <c r="H11" i="15"/>
  <c r="H9" i="15"/>
  <c r="H8" i="15"/>
  <c r="H7" i="15"/>
  <c r="H6" i="15"/>
  <c r="H5" i="15"/>
  <c r="J82" i="14"/>
  <c r="J81" i="14"/>
  <c r="J80" i="14"/>
  <c r="J79" i="14"/>
  <c r="J78" i="14"/>
  <c r="J77" i="14"/>
  <c r="J75" i="14"/>
  <c r="J74" i="14"/>
  <c r="J73" i="14"/>
  <c r="J72" i="14"/>
  <c r="J71" i="14"/>
  <c r="J70" i="14"/>
  <c r="J69" i="14"/>
  <c r="J68" i="14"/>
  <c r="J67" i="14"/>
  <c r="J66" i="14"/>
  <c r="J65" i="14"/>
  <c r="J63" i="14"/>
  <c r="J62" i="14"/>
  <c r="J61" i="14"/>
  <c r="J60" i="14"/>
  <c r="J59" i="14"/>
  <c r="J57" i="14"/>
  <c r="J56" i="14"/>
  <c r="J55" i="14"/>
  <c r="J54" i="14"/>
  <c r="J53" i="14"/>
  <c r="J51" i="14"/>
  <c r="J50" i="14"/>
  <c r="J49" i="14"/>
  <c r="J48" i="14"/>
  <c r="J47" i="14"/>
  <c r="J46" i="14"/>
  <c r="J45" i="14"/>
  <c r="J44" i="14"/>
  <c r="J43" i="14"/>
  <c r="J42" i="14"/>
  <c r="J41" i="14"/>
  <c r="J38" i="14"/>
  <c r="J37" i="14"/>
  <c r="J36" i="14"/>
  <c r="J35" i="14"/>
  <c r="J34" i="14"/>
  <c r="J31" i="14"/>
  <c r="J29" i="14"/>
  <c r="J27" i="14"/>
  <c r="J25" i="14"/>
  <c r="J23" i="14"/>
  <c r="J20" i="14"/>
  <c r="J19" i="14"/>
  <c r="J18" i="14"/>
  <c r="J17" i="14"/>
  <c r="J16" i="14"/>
  <c r="J13" i="14"/>
  <c r="J11" i="14"/>
  <c r="J9" i="14"/>
  <c r="J7" i="14"/>
  <c r="J5" i="14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8" i="12"/>
  <c r="F37" i="12"/>
  <c r="F36" i="12"/>
  <c r="F35" i="12"/>
  <c r="F34" i="12"/>
  <c r="D28" i="12"/>
  <c r="F28" i="12" s="1"/>
  <c r="F27" i="12"/>
  <c r="D27" i="12"/>
  <c r="D26" i="12"/>
  <c r="F26" i="12" s="1"/>
  <c r="F25" i="12"/>
  <c r="D25" i="12"/>
  <c r="D24" i="12"/>
  <c r="F24" i="12" s="1"/>
  <c r="F21" i="12"/>
  <c r="F18" i="12"/>
  <c r="F15" i="12"/>
  <c r="F12" i="12"/>
  <c r="F9" i="12"/>
  <c r="F8" i="12"/>
  <c r="F33" i="12" s="1"/>
  <c r="F7" i="12"/>
  <c r="F32" i="12" s="1"/>
  <c r="F6" i="12"/>
  <c r="F31" i="12" s="1"/>
  <c r="F5" i="12"/>
  <c r="F30" i="12" s="1"/>
  <c r="F4" i="12"/>
  <c r="F29" i="12" s="1"/>
  <c r="H85" i="11"/>
  <c r="H84" i="11"/>
  <c r="H83" i="11"/>
  <c r="H82" i="11"/>
  <c r="H81" i="11"/>
  <c r="H79" i="11"/>
  <c r="H78" i="11"/>
  <c r="H77" i="11"/>
  <c r="H76" i="11"/>
  <c r="H75" i="11"/>
  <c r="H73" i="11"/>
  <c r="H72" i="11"/>
  <c r="H71" i="11"/>
  <c r="H70" i="11"/>
  <c r="H69" i="11"/>
  <c r="H67" i="11"/>
  <c r="H66" i="11"/>
  <c r="H65" i="11"/>
  <c r="H64" i="11"/>
  <c r="H63" i="11"/>
  <c r="H61" i="11"/>
  <c r="H60" i="11"/>
  <c r="H59" i="11"/>
  <c r="H58" i="11"/>
  <c r="H57" i="11"/>
  <c r="H43" i="11"/>
  <c r="H42" i="11"/>
  <c r="H41" i="11"/>
  <c r="H40" i="11"/>
  <c r="H39" i="11"/>
  <c r="H36" i="11"/>
  <c r="H34" i="11"/>
  <c r="H32" i="11"/>
  <c r="H30" i="11"/>
  <c r="H28" i="11"/>
  <c r="H25" i="11"/>
  <c r="H24" i="11"/>
  <c r="H23" i="11"/>
  <c r="H22" i="11"/>
  <c r="H21" i="11"/>
  <c r="H17" i="11"/>
  <c r="H14" i="11"/>
  <c r="H11" i="11"/>
  <c r="H8" i="11"/>
  <c r="H5" i="11"/>
  <c r="F31" i="10"/>
  <c r="F29" i="10"/>
  <c r="F27" i="10"/>
  <c r="F25" i="10"/>
  <c r="F23" i="10"/>
  <c r="F17" i="10"/>
  <c r="F14" i="10"/>
  <c r="F11" i="10"/>
  <c r="F8" i="10"/>
  <c r="F5" i="10"/>
  <c r="H77" i="9"/>
  <c r="H76" i="9"/>
  <c r="H75" i="9"/>
  <c r="H74" i="9"/>
  <c r="H73" i="9"/>
  <c r="H71" i="9"/>
  <c r="H70" i="9"/>
  <c r="H69" i="9"/>
  <c r="H68" i="9"/>
  <c r="H67" i="9"/>
  <c r="H65" i="9"/>
  <c r="H64" i="9"/>
  <c r="H63" i="9"/>
  <c r="H62" i="9"/>
  <c r="H61" i="9"/>
  <c r="H59" i="9"/>
  <c r="H58" i="9"/>
  <c r="H57" i="9"/>
  <c r="H56" i="9"/>
  <c r="H55" i="9"/>
  <c r="H53" i="9"/>
  <c r="H52" i="9"/>
  <c r="H51" i="9"/>
  <c r="H50" i="9"/>
  <c r="H49" i="9"/>
  <c r="H47" i="9"/>
  <c r="H46" i="9"/>
  <c r="H45" i="9"/>
  <c r="H44" i="9"/>
  <c r="H43" i="9"/>
  <c r="H41" i="9"/>
  <c r="H40" i="9"/>
  <c r="H39" i="9"/>
  <c r="H38" i="9"/>
  <c r="H37" i="9"/>
  <c r="H35" i="9"/>
  <c r="H34" i="9"/>
  <c r="H33" i="9"/>
  <c r="H32" i="9"/>
  <c r="H31" i="9"/>
  <c r="H29" i="9"/>
  <c r="H28" i="9"/>
  <c r="H27" i="9"/>
  <c r="H26" i="9"/>
  <c r="H25" i="9"/>
  <c r="H23" i="9"/>
  <c r="H22" i="9"/>
  <c r="H21" i="9"/>
  <c r="H20" i="9"/>
  <c r="H19" i="9"/>
  <c r="H17" i="9"/>
  <c r="H16" i="9"/>
  <c r="H15" i="9"/>
  <c r="H14" i="9"/>
  <c r="H13" i="9"/>
  <c r="H10" i="9"/>
  <c r="H9" i="9"/>
  <c r="H8" i="9"/>
  <c r="H7" i="9"/>
  <c r="H6" i="9"/>
  <c r="H44" i="8"/>
  <c r="H43" i="8"/>
  <c r="H42" i="8"/>
  <c r="H41" i="8"/>
  <c r="H40" i="8"/>
  <c r="H37" i="8"/>
  <c r="H36" i="8"/>
  <c r="H35" i="8"/>
  <c r="H34" i="8"/>
  <c r="H33" i="8"/>
  <c r="H30" i="8"/>
  <c r="H29" i="8"/>
  <c r="H28" i="8"/>
  <c r="H27" i="8"/>
  <c r="H26" i="8"/>
  <c r="H23" i="8"/>
  <c r="H22" i="8"/>
  <c r="H21" i="8"/>
  <c r="H20" i="8"/>
  <c r="H19" i="8"/>
  <c r="H16" i="8"/>
  <c r="H15" i="8"/>
  <c r="H14" i="8"/>
  <c r="H13" i="8"/>
  <c r="H12" i="8"/>
  <c r="H9" i="8"/>
  <c r="H8" i="8"/>
  <c r="H7" i="8"/>
  <c r="H6" i="8"/>
  <c r="H5" i="8"/>
  <c r="J80" i="7"/>
  <c r="J79" i="7"/>
  <c r="J78" i="7"/>
  <c r="J77" i="7"/>
  <c r="J76" i="7"/>
  <c r="J74" i="7"/>
  <c r="J73" i="7"/>
  <c r="J72" i="7"/>
  <c r="J71" i="7"/>
  <c r="J70" i="7"/>
  <c r="J68" i="7"/>
  <c r="J67" i="7"/>
  <c r="J66" i="7"/>
  <c r="J65" i="7"/>
  <c r="J64" i="7"/>
  <c r="J62" i="7"/>
  <c r="J61" i="7"/>
  <c r="J60" i="7"/>
  <c r="J59" i="7"/>
  <c r="J58" i="7"/>
  <c r="J56" i="7"/>
  <c r="J55" i="7"/>
  <c r="J54" i="7"/>
  <c r="J53" i="7"/>
  <c r="J52" i="7"/>
  <c r="J50" i="7"/>
  <c r="J49" i="7"/>
  <c r="J48" i="7"/>
  <c r="J47" i="7"/>
  <c r="J46" i="7"/>
  <c r="J44" i="7"/>
  <c r="J43" i="7"/>
  <c r="J42" i="7"/>
  <c r="J41" i="7"/>
  <c r="J40" i="7"/>
  <c r="J38" i="7"/>
  <c r="J37" i="7"/>
  <c r="J36" i="7"/>
  <c r="J35" i="7"/>
  <c r="J34" i="7"/>
  <c r="J32" i="7"/>
  <c r="J31" i="7"/>
  <c r="J30" i="7"/>
  <c r="J29" i="7"/>
  <c r="J28" i="7"/>
  <c r="J26" i="7"/>
  <c r="J25" i="7"/>
  <c r="J24" i="7"/>
  <c r="J23" i="7"/>
  <c r="J22" i="7"/>
  <c r="J20" i="7"/>
  <c r="J19" i="7"/>
  <c r="J18" i="7"/>
  <c r="J17" i="7"/>
  <c r="J15" i="7"/>
  <c r="J14" i="7"/>
  <c r="J13" i="7"/>
  <c r="J12" i="7"/>
  <c r="J11" i="7"/>
  <c r="I76" i="6"/>
  <c r="I75" i="6"/>
  <c r="I74" i="6"/>
  <c r="I73" i="6"/>
  <c r="I72" i="6"/>
  <c r="I70" i="6"/>
  <c r="I69" i="6"/>
  <c r="I68" i="6"/>
  <c r="I67" i="6"/>
  <c r="I66" i="6"/>
  <c r="I64" i="6"/>
  <c r="I63" i="6"/>
  <c r="I62" i="6"/>
  <c r="I61" i="6"/>
  <c r="I60" i="6"/>
  <c r="I58" i="6"/>
  <c r="I57" i="6"/>
  <c r="I56" i="6"/>
  <c r="I55" i="6"/>
  <c r="I54" i="6"/>
  <c r="I52" i="6"/>
  <c r="I51" i="6"/>
  <c r="I50" i="6"/>
  <c r="I49" i="6"/>
  <c r="I48" i="6"/>
  <c r="I46" i="6"/>
  <c r="I45" i="6"/>
  <c r="I44" i="6"/>
  <c r="I43" i="6"/>
  <c r="I42" i="6"/>
  <c r="I40" i="6"/>
  <c r="I39" i="6"/>
  <c r="I38" i="6"/>
  <c r="I37" i="6"/>
  <c r="I36" i="6"/>
  <c r="I34" i="6"/>
  <c r="I33" i="6"/>
  <c r="I32" i="6"/>
  <c r="I31" i="6"/>
  <c r="I30" i="6"/>
  <c r="I28" i="6"/>
  <c r="I27" i="6"/>
  <c r="I26" i="6"/>
  <c r="I25" i="6"/>
  <c r="I24" i="6"/>
  <c r="I22" i="6"/>
  <c r="I21" i="6"/>
  <c r="I20" i="6"/>
  <c r="I19" i="6"/>
  <c r="I18" i="6"/>
  <c r="I16" i="6"/>
  <c r="F15" i="6"/>
  <c r="I15" i="6" s="1"/>
  <c r="F14" i="6"/>
  <c r="I14" i="6" s="1"/>
  <c r="I13" i="6"/>
  <c r="I12" i="6"/>
  <c r="I10" i="6"/>
  <c r="I9" i="6"/>
  <c r="I8" i="6"/>
  <c r="I7" i="6"/>
  <c r="I6" i="6"/>
  <c r="E72" i="5"/>
  <c r="E71" i="5"/>
  <c r="E70" i="5"/>
  <c r="E69" i="5"/>
  <c r="E68" i="5"/>
  <c r="E66" i="5"/>
  <c r="E65" i="5"/>
  <c r="E64" i="5"/>
  <c r="E63" i="5"/>
  <c r="E62" i="5"/>
  <c r="E60" i="5"/>
  <c r="E59" i="5"/>
  <c r="E58" i="5"/>
  <c r="E57" i="5"/>
  <c r="E56" i="5"/>
  <c r="E54" i="5"/>
  <c r="E53" i="5"/>
  <c r="E52" i="5"/>
  <c r="E51" i="5"/>
  <c r="E50" i="5"/>
  <c r="E48" i="5"/>
  <c r="E47" i="5"/>
  <c r="E46" i="5"/>
  <c r="E45" i="5"/>
  <c r="E44" i="5"/>
  <c r="E42" i="5"/>
  <c r="E41" i="5"/>
  <c r="E40" i="5"/>
  <c r="E39" i="5"/>
  <c r="E38" i="5"/>
  <c r="E36" i="5"/>
  <c r="E35" i="5"/>
  <c r="E34" i="5"/>
  <c r="E33" i="5"/>
  <c r="E32" i="5"/>
  <c r="E27" i="5"/>
  <c r="E26" i="5"/>
  <c r="E24" i="5"/>
  <c r="E23" i="5"/>
  <c r="E22" i="5"/>
  <c r="E21" i="5"/>
  <c r="E20" i="5"/>
  <c r="E18" i="5"/>
  <c r="E17" i="5"/>
  <c r="E16" i="5"/>
  <c r="E15" i="5"/>
  <c r="E14" i="5"/>
  <c r="E12" i="5"/>
  <c r="E11" i="5"/>
  <c r="E10" i="5"/>
  <c r="E9" i="5"/>
  <c r="E8" i="5"/>
  <c r="E6" i="5"/>
  <c r="E5" i="5"/>
  <c r="E4" i="5"/>
  <c r="E3" i="5"/>
  <c r="G79" i="4"/>
  <c r="G78" i="4"/>
  <c r="G77" i="4"/>
  <c r="G76" i="4"/>
  <c r="G75" i="4"/>
  <c r="G73" i="4"/>
  <c r="G72" i="4"/>
  <c r="G71" i="4"/>
  <c r="G70" i="4"/>
  <c r="G69" i="4"/>
  <c r="G67" i="4"/>
  <c r="G66" i="4"/>
  <c r="G65" i="4"/>
  <c r="G64" i="4"/>
  <c r="G63" i="4"/>
  <c r="G61" i="4"/>
  <c r="G60" i="4"/>
  <c r="G59" i="4"/>
  <c r="G58" i="4"/>
  <c r="G57" i="4"/>
  <c r="G55" i="4"/>
  <c r="G54" i="4"/>
  <c r="G53" i="4"/>
  <c r="G52" i="4"/>
  <c r="G51" i="4"/>
  <c r="G49" i="4"/>
  <c r="G48" i="4"/>
  <c r="G47" i="4"/>
  <c r="G46" i="4"/>
  <c r="G45" i="4"/>
  <c r="G43" i="4"/>
  <c r="G42" i="4"/>
  <c r="G41" i="4"/>
  <c r="G40" i="4"/>
  <c r="G39" i="4"/>
  <c r="G36" i="4"/>
  <c r="G33" i="4"/>
  <c r="G30" i="4"/>
  <c r="G27" i="4"/>
  <c r="G24" i="4"/>
  <c r="G22" i="4"/>
  <c r="G21" i="4"/>
  <c r="G20" i="4"/>
  <c r="G19" i="4"/>
  <c r="G18" i="4"/>
  <c r="G15" i="4"/>
  <c r="G12" i="4"/>
  <c r="G9" i="4"/>
  <c r="G6" i="4"/>
  <c r="G3" i="4"/>
  <c r="G71" i="3"/>
  <c r="G70" i="3"/>
  <c r="G69" i="3"/>
  <c r="G68" i="3"/>
  <c r="G67" i="3"/>
  <c r="G65" i="3"/>
  <c r="G64" i="3"/>
  <c r="G63" i="3"/>
  <c r="G62" i="3"/>
  <c r="G61" i="3"/>
  <c r="G59" i="3"/>
  <c r="G58" i="3"/>
  <c r="G57" i="3"/>
  <c r="G56" i="3"/>
  <c r="G55" i="3"/>
  <c r="G53" i="3"/>
  <c r="G52" i="3"/>
  <c r="G51" i="3"/>
  <c r="G50" i="3"/>
  <c r="G49" i="3"/>
  <c r="G47" i="3"/>
  <c r="G46" i="3"/>
  <c r="G45" i="3"/>
  <c r="G44" i="3"/>
  <c r="G43" i="3"/>
  <c r="G41" i="3"/>
  <c r="G40" i="3"/>
  <c r="G39" i="3"/>
  <c r="G38" i="3"/>
  <c r="G37" i="3"/>
  <c r="G35" i="3"/>
  <c r="G34" i="3"/>
  <c r="G33" i="3"/>
  <c r="G32" i="3"/>
  <c r="G31" i="3"/>
  <c r="G29" i="3"/>
  <c r="G28" i="3"/>
  <c r="G27" i="3"/>
  <c r="G26" i="3"/>
  <c r="G25" i="3"/>
  <c r="G23" i="3"/>
  <c r="G22" i="3"/>
  <c r="G21" i="3"/>
  <c r="G20" i="3"/>
  <c r="G19" i="3"/>
  <c r="G17" i="3"/>
  <c r="G16" i="3"/>
  <c r="G15" i="3"/>
  <c r="G14" i="3"/>
  <c r="G13" i="3"/>
  <c r="G10" i="3"/>
  <c r="G9" i="3"/>
  <c r="G8" i="3"/>
  <c r="G7" i="3"/>
  <c r="G6" i="3"/>
  <c r="G85" i="1"/>
  <c r="G84" i="1"/>
  <c r="G83" i="1"/>
  <c r="G82" i="1"/>
  <c r="G81" i="1"/>
  <c r="G79" i="1"/>
  <c r="G78" i="1"/>
  <c r="G77" i="1"/>
  <c r="G76" i="1"/>
  <c r="G75" i="1"/>
  <c r="G73" i="1"/>
  <c r="G72" i="1"/>
  <c r="G71" i="1"/>
  <c r="G70" i="1"/>
  <c r="G69" i="1"/>
  <c r="G67" i="1"/>
  <c r="G66" i="1"/>
  <c r="G65" i="1"/>
  <c r="G64" i="1"/>
  <c r="G63" i="1"/>
  <c r="G61" i="1"/>
  <c r="G60" i="1"/>
  <c r="G59" i="1"/>
  <c r="G58" i="1"/>
  <c r="G57" i="1"/>
  <c r="G55" i="1"/>
  <c r="G54" i="1"/>
  <c r="G53" i="1"/>
  <c r="G52" i="1"/>
  <c r="G51" i="1"/>
  <c r="G49" i="1"/>
  <c r="G48" i="1"/>
  <c r="G47" i="1"/>
  <c r="G46" i="1"/>
  <c r="G45" i="1"/>
  <c r="G43" i="1"/>
  <c r="G42" i="1"/>
  <c r="G41" i="1"/>
  <c r="G40" i="1"/>
  <c r="G39" i="1"/>
  <c r="G36" i="1"/>
  <c r="G34" i="1"/>
  <c r="G32" i="1"/>
  <c r="G30" i="1"/>
  <c r="G28" i="1"/>
  <c r="G26" i="1"/>
  <c r="G25" i="1"/>
  <c r="G24" i="1"/>
  <c r="G23" i="1"/>
  <c r="G22" i="1"/>
  <c r="G19" i="1"/>
  <c r="G17" i="1"/>
  <c r="G15" i="1"/>
  <c r="G13" i="1"/>
  <c r="G11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<sst xmlns="http://schemas.openxmlformats.org/spreadsheetml/2006/main" count="3202" uniqueCount="2181">
  <si>
    <t>VEDITA</t>
  </si>
  <si>
    <t>Sr. No</t>
  </si>
  <si>
    <t>Method</t>
  </si>
  <si>
    <t>Data</t>
  </si>
  <si>
    <t>Formula</t>
  </si>
  <si>
    <t>Output</t>
  </si>
  <si>
    <t>CLEAN</t>
  </si>
  <si>
    <t>Abu Dhabi</t>
  </si>
  <si>
    <t>CLEAN(E4)</t>
  </si>
  <si>
    <t>Tulips-Roses</t>
  </si>
  <si>
    <t>CLEAN(E5)</t>
  </si>
  <si>
    <t>Ferrari World!</t>
  </si>
  <si>
    <t>CLEAN(E6)</t>
  </si>
  <si>
    <t>Report2026</t>
  </si>
  <si>
    <t>CLEAN(E7)</t>
  </si>
  <si>
    <t>Hello world</t>
  </si>
  <si>
    <t>CLEAN(E8)</t>
  </si>
  <si>
    <t>CONCAT</t>
  </si>
  <si>
    <t>Sun</t>
  </si>
  <si>
    <t>CONCAT(E11,E10)</t>
  </si>
  <si>
    <t>Fun</t>
  </si>
  <si>
    <t>Javascript</t>
  </si>
  <si>
    <t>CONCAT(E$13,E$12)</t>
  </si>
  <si>
    <t>Js</t>
  </si>
  <si>
    <t>Start</t>
  </si>
  <si>
    <t>CONCAT(E15,E14)</t>
  </si>
  <si>
    <t>Begin</t>
  </si>
  <si>
    <t>Little</t>
  </si>
  <si>
    <t>CONCAT(E17,E16)</t>
  </si>
  <si>
    <t>Things</t>
  </si>
  <si>
    <t>Multiple</t>
  </si>
  <si>
    <t>CONCAT(E19,E18)</t>
  </si>
  <si>
    <t>Division</t>
  </si>
  <si>
    <t>FIND</t>
  </si>
  <si>
    <t>Eda-Yeldiz</t>
  </si>
  <si>
    <t>FIND("a",E20)</t>
  </si>
  <si>
    <t>Mahnoor</t>
  </si>
  <si>
    <t>FIND("n",E21)</t>
  </si>
  <si>
    <t>Australia</t>
  </si>
  <si>
    <t>FIND("a",E22)</t>
  </si>
  <si>
    <t>Character</t>
  </si>
  <si>
    <t>FIND("C",E24)</t>
  </si>
  <si>
    <t>My-Sql</t>
  </si>
  <si>
    <t>FIND("-",E25)</t>
  </si>
  <si>
    <t>EXACT</t>
  </si>
  <si>
    <t>Mango</t>
  </si>
  <si>
    <t>EXACT(E27,E28)</t>
  </si>
  <si>
    <t>mango</t>
  </si>
  <si>
    <t>Sunday</t>
  </si>
  <si>
    <t>EXACT(E29,E30)</t>
  </si>
  <si>
    <t>Lapt0p</t>
  </si>
  <si>
    <t>EXACT(E31,E32)</t>
  </si>
  <si>
    <t>Latop</t>
  </si>
  <si>
    <t>helloworld</t>
  </si>
  <si>
    <t>EXACT(E33,E34)</t>
  </si>
  <si>
    <t>Helloworld</t>
  </si>
  <si>
    <t>EXACT(E35,E36)</t>
  </si>
  <si>
    <t>LEFT</t>
  </si>
  <si>
    <t>TCS-Company</t>
  </si>
  <si>
    <t>LEFT(E38,8)</t>
  </si>
  <si>
    <t>Dashboard</t>
  </si>
  <si>
    <t>LEFT(E39,4)</t>
  </si>
  <si>
    <t>Logical coding</t>
  </si>
  <si>
    <t>LEFT(E40,10)</t>
  </si>
  <si>
    <t>Arithmetic</t>
  </si>
  <si>
    <t>LEFT(E41,10)</t>
  </si>
  <si>
    <t>Substitution</t>
  </si>
  <si>
    <t>LEFT(E42,10)</t>
  </si>
  <si>
    <t>LEN</t>
  </si>
  <si>
    <t>Quant</t>
  </si>
  <si>
    <t>LEN(E45)</t>
  </si>
  <si>
    <t>Funtion &amp; String</t>
  </si>
  <si>
    <t>LEN(E46)</t>
  </si>
  <si>
    <t>Abstract Reasoning</t>
  </si>
  <si>
    <t>LEN(E47)</t>
  </si>
  <si>
    <t>Big Data Tool</t>
  </si>
  <si>
    <t>LEN(E48)</t>
  </si>
  <si>
    <t>CSS</t>
  </si>
  <si>
    <t>LEN(E49)</t>
  </si>
  <si>
    <t>LOWER</t>
  </si>
  <si>
    <t>Cybersecurity</t>
  </si>
  <si>
    <t>LOWER(E51)</t>
  </si>
  <si>
    <t>Colour-Red</t>
  </si>
  <si>
    <t>LOWER(E52)</t>
  </si>
  <si>
    <t>Verbal reading</t>
  </si>
  <si>
    <t>LOWER(E53)</t>
  </si>
  <si>
    <t>ASUS Vivobook</t>
  </si>
  <si>
    <t>LOWER(E54)</t>
  </si>
  <si>
    <t>F1 FERRARI</t>
  </si>
  <si>
    <t>LOWER(E55)</t>
  </si>
  <si>
    <t>MID</t>
  </si>
  <si>
    <t>Stanford University</t>
  </si>
  <si>
    <t>MID(E57,9,19)</t>
  </si>
  <si>
    <t>Twisted-Game</t>
  </si>
  <si>
    <t>MID(E58,7,15)</t>
  </si>
  <si>
    <t>Max Verstappen</t>
  </si>
  <si>
    <t>MID(E59,4,25)</t>
  </si>
  <si>
    <t>Weather</t>
  </si>
  <si>
    <t>MID(E60,2,7)</t>
  </si>
  <si>
    <t>Managment</t>
  </si>
  <si>
    <t>MID(E61,5,19)</t>
  </si>
  <si>
    <t>PROPER</t>
  </si>
  <si>
    <t>LeWIS hamilTON</t>
  </si>
  <si>
    <t>PROPER(E63)</t>
  </si>
  <si>
    <t>bRItish</t>
  </si>
  <si>
    <t>PROPER(E64)</t>
  </si>
  <si>
    <t>WillIAMS17</t>
  </si>
  <si>
    <t>PROPER(E65)</t>
  </si>
  <si>
    <t>hocking</t>
  </si>
  <si>
    <t>PROPER(E66)</t>
  </si>
  <si>
    <t>PARIS</t>
  </si>
  <si>
    <t>PROPER(E67)</t>
  </si>
  <si>
    <t>REPLACE</t>
  </si>
  <si>
    <t>Leadership</t>
  </si>
  <si>
    <t>REPLACE(E69,4,12,"d")</t>
  </si>
  <si>
    <t>Continent</t>
  </si>
  <si>
    <t>REPLACE(E70,2,5," ")</t>
  </si>
  <si>
    <t>Nationalism</t>
  </si>
  <si>
    <t>REPLACE(E71,8,19,"l")</t>
  </si>
  <si>
    <t>Indonesia</t>
  </si>
  <si>
    <t>REPLACE(E72,4,10,"o")</t>
  </si>
  <si>
    <t>President</t>
  </si>
  <si>
    <t>REPLACE(E73,8,10,"dent")</t>
  </si>
  <si>
    <t>RIGHT</t>
  </si>
  <si>
    <t>Sunflower</t>
  </si>
  <si>
    <t>RIGHT(E75,5)</t>
  </si>
  <si>
    <t>George Russell</t>
  </si>
  <si>
    <t>RIGHT(E76,5)</t>
  </si>
  <si>
    <t>Capybara</t>
  </si>
  <si>
    <t>RIGHT(E77,4)</t>
  </si>
  <si>
    <t>Jacob.Bethell</t>
  </si>
  <si>
    <t>RIGHT(E78,8)</t>
  </si>
  <si>
    <t>Black_ panther</t>
  </si>
  <si>
    <t>RIGHT(E79,12)</t>
  </si>
  <si>
    <t>UPPER</t>
  </si>
  <si>
    <t>Structure</t>
  </si>
  <si>
    <t>LOWER(E81)</t>
  </si>
  <si>
    <t>BasKETball</t>
  </si>
  <si>
    <t>LOWER(E82)</t>
  </si>
  <si>
    <t>HUMAN</t>
  </si>
  <si>
    <t>LOWER(E83)</t>
  </si>
  <si>
    <t>LillY</t>
  </si>
  <si>
    <t>LOWER(E84)</t>
  </si>
  <si>
    <t>Jujutu-KAISEN</t>
  </si>
  <si>
    <t>LOWER(E85)</t>
  </si>
  <si>
    <t>NIKHIL GUPTA</t>
  </si>
  <si>
    <t>SR.NO</t>
  </si>
  <si>
    <t>TEXT FUNCTION/ METHOD</t>
  </si>
  <si>
    <t>VALUE</t>
  </si>
  <si>
    <t>FORMULA</t>
  </si>
  <si>
    <t>OUTPUT</t>
  </si>
  <si>
    <t>CONCAT/JOIN</t>
  </si>
  <si>
    <t>Chennai</t>
  </si>
  <si>
    <t>Super</t>
  </si>
  <si>
    <t>King</t>
  </si>
  <si>
    <t>CONCAT(F4," ",G4," ",H4)</t>
  </si>
  <si>
    <t>Chennai Super King</t>
  </si>
  <si>
    <t>Mumbai</t>
  </si>
  <si>
    <t>Indians</t>
  </si>
  <si>
    <t>CONCAT(F5," ",G5," ",H5)</t>
  </si>
  <si>
    <t>Mumbai Indians</t>
  </si>
  <si>
    <t>Delhi</t>
  </si>
  <si>
    <t>Capitals</t>
  </si>
  <si>
    <t>CONCAT(F6," ",G6," ",H6)</t>
  </si>
  <si>
    <t>Delhi Capitals</t>
  </si>
  <si>
    <t>Sunrises</t>
  </si>
  <si>
    <t>Hyderabad</t>
  </si>
  <si>
    <t>CONCAT(F7," ",G7," ",H7)</t>
  </si>
  <si>
    <t>Sunrises Hyderabad</t>
  </si>
  <si>
    <t>Royal</t>
  </si>
  <si>
    <t>Challengers</t>
  </si>
  <si>
    <t>Bengaluru</t>
  </si>
  <si>
    <t>CONCAT(F8," ",G8," ",H8)</t>
  </si>
  <si>
    <t>Royal Challengers Bengaluru</t>
  </si>
  <si>
    <t>International Business Machines</t>
  </si>
  <si>
    <t>RIGHT(F10,8)</t>
  </si>
  <si>
    <t>Machines</t>
  </si>
  <si>
    <t>Tata Consultancy Services</t>
  </si>
  <si>
    <t>RIGHT(D11,8)</t>
  </si>
  <si>
    <t>Services</t>
  </si>
  <si>
    <t>Saudi Arabian Oil</t>
  </si>
  <si>
    <t>RIGHT(D12,3)</t>
  </si>
  <si>
    <t>Oil</t>
  </si>
  <si>
    <t>General Electric Company</t>
  </si>
  <si>
    <t>RIGHT(D13,7)</t>
  </si>
  <si>
    <t>Company</t>
  </si>
  <si>
    <t>Aditya Birla Group</t>
  </si>
  <si>
    <t>RIGHT(D14,5)</t>
  </si>
  <si>
    <t>Group</t>
  </si>
  <si>
    <t>LEFT(D16,13)</t>
  </si>
  <si>
    <t>International</t>
  </si>
  <si>
    <t>LEFT(D17,4)</t>
  </si>
  <si>
    <t>Tata</t>
  </si>
  <si>
    <t>LEFT(D18,5)</t>
  </si>
  <si>
    <t>Saudi</t>
  </si>
  <si>
    <t>LEFT(D19,7)</t>
  </si>
  <si>
    <t>General</t>
  </si>
  <si>
    <t>LEFT(D20,6)</t>
  </si>
  <si>
    <t>Aditya</t>
  </si>
  <si>
    <t>MID(D22,15,8)</t>
  </si>
  <si>
    <t>Business</t>
  </si>
  <si>
    <t>MID(D23,6,11)</t>
  </si>
  <si>
    <t>Consultancy</t>
  </si>
  <si>
    <t>MID(D24,7,7)</t>
  </si>
  <si>
    <t>Arabian</t>
  </si>
  <si>
    <t>MID(D25,9,8)</t>
  </si>
  <si>
    <t>Electric</t>
  </si>
  <si>
    <t>MID(D26,8,5)</t>
  </si>
  <si>
    <t>Birla</t>
  </si>
  <si>
    <t>india</t>
  </si>
  <si>
    <t>UPPER(D28)</t>
  </si>
  <si>
    <t>INDIA</t>
  </si>
  <si>
    <t>united states</t>
  </si>
  <si>
    <t>UPPER(D29)</t>
  </si>
  <si>
    <t>UNITED STATES</t>
  </si>
  <si>
    <t>china</t>
  </si>
  <si>
    <t>UPPER(D30)</t>
  </si>
  <si>
    <t>CHINA</t>
  </si>
  <si>
    <t>brazil</t>
  </si>
  <si>
    <t>UPPER(D31)</t>
  </si>
  <si>
    <t>BRAZIL</t>
  </si>
  <si>
    <t>japan</t>
  </si>
  <si>
    <t>UPPER(D32)</t>
  </si>
  <si>
    <t>JAPAN</t>
  </si>
  <si>
    <t>SIEMENS</t>
  </si>
  <si>
    <t>LOWER(D34)</t>
  </si>
  <si>
    <t>siemens</t>
  </si>
  <si>
    <t>SCHNEIDER ELECTRIC</t>
  </si>
  <si>
    <t>LOWER(D35)</t>
  </si>
  <si>
    <t>schneider electric</t>
  </si>
  <si>
    <t>ABB</t>
  </si>
  <si>
    <t>LOWER(D36)</t>
  </si>
  <si>
    <t>abb</t>
  </si>
  <si>
    <t>GENERAL ELECTRIC</t>
  </si>
  <si>
    <t>LOWER(D37)</t>
  </si>
  <si>
    <t>general electric</t>
  </si>
  <si>
    <t>HITACHI</t>
  </si>
  <si>
    <t>LOWER(D38)</t>
  </si>
  <si>
    <t>hitachi</t>
  </si>
  <si>
    <t>kaPil dEv</t>
  </si>
  <si>
    <t>PROPER(D40)</t>
  </si>
  <si>
    <t>Kapil Dev</t>
  </si>
  <si>
    <t>yuVrAj sInGh</t>
  </si>
  <si>
    <t>PROPER(D41)</t>
  </si>
  <si>
    <t>Yuvraj Singh</t>
  </si>
  <si>
    <t>hArDiK pAnDyA</t>
  </si>
  <si>
    <t>PROPER(D42)</t>
  </si>
  <si>
    <t>Hardik Pandya</t>
  </si>
  <si>
    <t>raVinDrA jAdEjA</t>
  </si>
  <si>
    <t>PROPER(D43)</t>
  </si>
  <si>
    <t>Ravindra Jadeja</t>
  </si>
  <si>
    <t>rAvIcHaNdRaN aShWiN</t>
  </si>
  <si>
    <t>PROPER(D44)</t>
  </si>
  <si>
    <t>Ravichandran Ashwin</t>
  </si>
  <si>
    <t>Indian Sea</t>
  </si>
  <si>
    <t>LEN(D46)</t>
  </si>
  <si>
    <t>Arabian Sea</t>
  </si>
  <si>
    <t>LEN(D47)</t>
  </si>
  <si>
    <t>South China Sea</t>
  </si>
  <si>
    <t>LEN(D48)</t>
  </si>
  <si>
    <t>Coral Sea</t>
  </si>
  <si>
    <t>LEN(D49)</t>
  </si>
  <si>
    <t>Caribbean Sea</t>
  </si>
  <si>
    <t>LEN(D50)</t>
  </si>
  <si>
    <t>EMP
 NAME</t>
  </si>
  <si>
    <t>CLEAN(D52)</t>
  </si>
  <si>
    <t>EMPNAME</t>
  </si>
  <si>
    <t>EMP
 ADD</t>
  </si>
  <si>
    <t>CLEAN(D53)</t>
  </si>
  <si>
    <t>EMPADD</t>
  </si>
  <si>
    <t>CODE 
 ID</t>
  </si>
  <si>
    <t>CLEAN(D54)</t>
  </si>
  <si>
    <t>CODE ID</t>
  </si>
  <si>
    <t>DATE
 OF JOINING</t>
  </si>
  <si>
    <t>CLEAN(D55)</t>
  </si>
  <si>
    <t>DATEOF JOINING</t>
  </si>
  <si>
    <t>EMP
 ID</t>
  </si>
  <si>
    <t>CLEAN(D56)</t>
  </si>
  <si>
    <t>EMPID</t>
  </si>
  <si>
    <t>Great Wall of China</t>
  </si>
  <si>
    <t>FIND("of",D58,2)</t>
  </si>
  <si>
    <t>Petra</t>
  </si>
  <si>
    <t>FIND("T","PETRA")</t>
  </si>
  <si>
    <t>Christ- the Redeemer</t>
  </si>
  <si>
    <t>FIND("-",D60)</t>
  </si>
  <si>
    <t>Machu Picchu#</t>
  </si>
  <si>
    <t>FIND("#",D61)</t>
  </si>
  <si>
    <t>Chichen_Itza</t>
  </si>
  <si>
    <t>FIND("_",D62)</t>
  </si>
  <si>
    <t>Dragon Fruit</t>
  </si>
  <si>
    <t>EXACT("Dragon Fruit",D64)</t>
  </si>
  <si>
    <t>MANGO</t>
  </si>
  <si>
    <t>EXACT("Mango",D65)</t>
  </si>
  <si>
    <t>Jack FRUIT</t>
  </si>
  <si>
    <t>EXACT("Jack FRUIT",D66)</t>
  </si>
  <si>
    <t>graPe</t>
  </si>
  <si>
    <t>EXACT("Grape",D67)</t>
  </si>
  <si>
    <t>Avacado</t>
  </si>
  <si>
    <t>EXACT("Avacado",D68)</t>
  </si>
  <si>
    <t>Mumbai — City of Dreams</t>
  </si>
  <si>
    <t>Economical Capital of India</t>
  </si>
  <si>
    <t>REPLACE(D70,9,20,E70)</t>
  </si>
  <si>
    <t>Mumbai —Economical Capital of India</t>
  </si>
  <si>
    <t>Jaipur — Pink City</t>
  </si>
  <si>
    <t>Paris of India</t>
  </si>
  <si>
    <t>REPLACE(D71,9,20,E71)</t>
  </si>
  <si>
    <t>Jaipur —Paris of India</t>
  </si>
  <si>
    <t>Kolkata — Cultural Capital of India</t>
  </si>
  <si>
    <t>City of Joy</t>
  </si>
  <si>
    <t>REPLACE(D72,10,30,E72)</t>
  </si>
  <si>
    <t>Kolkata —City of Joy</t>
  </si>
  <si>
    <t>Bengaluru — Silicon Valley of India</t>
  </si>
  <si>
    <t>Garden City</t>
  </si>
  <si>
    <t>REPLACE(D73,12,30,E73)</t>
  </si>
  <si>
    <t>Bengaluru —Garden City</t>
  </si>
  <si>
    <t>Hyderabad — City of Pearls</t>
  </si>
  <si>
    <t>Biryani Capital of India</t>
  </si>
  <si>
    <t>REPLACE(D74,12,30,E74)</t>
  </si>
  <si>
    <t>Hyderabad —Biryani Capital of India</t>
  </si>
  <si>
    <t>RABIYA KHAN</t>
  </si>
  <si>
    <t>SR . NO</t>
  </si>
  <si>
    <t>TEXT METHOD</t>
  </si>
  <si>
    <t>A</t>
  </si>
  <si>
    <t>Milk Bread</t>
  </si>
  <si>
    <t>CLEAN(D6)</t>
  </si>
  <si>
    <t>order#123</t>
  </si>
  <si>
    <t>CLEAN(D7)</t>
  </si>
  <si>
    <t>cafe&amp;pizza</t>
  </si>
  <si>
    <t>CLEAN(D8)</t>
  </si>
  <si>
    <t>charger    -plug</t>
  </si>
  <si>
    <t>CLEAN(D9)</t>
  </si>
  <si>
    <t>AI - ML</t>
  </si>
  <si>
    <t>CLEAN(D10)</t>
  </si>
  <si>
    <t>B</t>
  </si>
  <si>
    <t>Chicken</t>
  </si>
  <si>
    <t>Biryani</t>
  </si>
  <si>
    <t>CONCAT(D13,E13)</t>
  </si>
  <si>
    <t>cold</t>
  </si>
  <si>
    <t>coffee</t>
  </si>
  <si>
    <t>CONCAT(D14,E14)</t>
  </si>
  <si>
    <t>pav</t>
  </si>
  <si>
    <t>bhaji</t>
  </si>
  <si>
    <t>CONCAT(D15,E15)</t>
  </si>
  <si>
    <t>Paneer</t>
  </si>
  <si>
    <t>Momos</t>
  </si>
  <si>
    <t>CONCAT(D16,E16)</t>
  </si>
  <si>
    <t>Masala</t>
  </si>
  <si>
    <t>Dosa</t>
  </si>
  <si>
    <t>CONCAT(D17,E17)</t>
  </si>
  <si>
    <t>C</t>
  </si>
  <si>
    <t>mumbai</t>
  </si>
  <si>
    <t>EXACT(D19,E19)</t>
  </si>
  <si>
    <t>EXACT(D20,E20)</t>
  </si>
  <si>
    <t xml:space="preserve">chai </t>
  </si>
  <si>
    <t>Chai</t>
  </si>
  <si>
    <t>EXACT(D21,E21)</t>
  </si>
  <si>
    <t>Engineer</t>
  </si>
  <si>
    <t>engineer</t>
  </si>
  <si>
    <t>EXACT(D22,E22)</t>
  </si>
  <si>
    <t>mentor</t>
  </si>
  <si>
    <t>EXACT(D23,E23)</t>
  </si>
  <si>
    <t>D</t>
  </si>
  <si>
    <t>CANADA</t>
  </si>
  <si>
    <t>FIND("N",D25)</t>
  </si>
  <si>
    <t>LONDON</t>
  </si>
  <si>
    <t>FIND("D",D26)</t>
  </si>
  <si>
    <t>FIND("N",D27)</t>
  </si>
  <si>
    <t>SOUTH KOREA</t>
  </si>
  <si>
    <t>FIND("K",D28)</t>
  </si>
  <si>
    <t>FIND("I",D29)</t>
  </si>
  <si>
    <t>E</t>
  </si>
  <si>
    <t>Student</t>
  </si>
  <si>
    <t>LEFT(D31,4)</t>
  </si>
  <si>
    <t>Teacher</t>
  </si>
  <si>
    <t>LEFT(D32,3)</t>
  </si>
  <si>
    <t>Library</t>
  </si>
  <si>
    <t>LEFT(D33,5)</t>
  </si>
  <si>
    <t>College</t>
  </si>
  <si>
    <t>LEFT(D34,7)</t>
  </si>
  <si>
    <t>Classroom</t>
  </si>
  <si>
    <t>LEFT(D35,5)</t>
  </si>
  <si>
    <t>F</t>
  </si>
  <si>
    <t>Data structure</t>
  </si>
  <si>
    <t>RIGHT(D37,9)</t>
  </si>
  <si>
    <t>Operating system</t>
  </si>
  <si>
    <t>RIGHT(D38,4)</t>
  </si>
  <si>
    <t>Cloud computing</t>
  </si>
  <si>
    <t>RIGHT(D39,9)</t>
  </si>
  <si>
    <t>Artificial intelligence</t>
  </si>
  <si>
    <t>RIGHT(D40,15)</t>
  </si>
  <si>
    <t>Computer network</t>
  </si>
  <si>
    <t>RIGHT(D41,7)</t>
  </si>
  <si>
    <t>G</t>
  </si>
  <si>
    <t>Elephant</t>
  </si>
  <si>
    <t>MID(D43,3,8)</t>
  </si>
  <si>
    <t>Tiger</t>
  </si>
  <si>
    <t>MID(D44,2,5)</t>
  </si>
  <si>
    <t>Giraffe</t>
  </si>
  <si>
    <t>MID(D45,3,6)</t>
  </si>
  <si>
    <t>Dolphin</t>
  </si>
  <si>
    <t>MID(D46,4,7)</t>
  </si>
  <si>
    <t>Penguin</t>
  </si>
  <si>
    <t>MID(D47,1,7)</t>
  </si>
  <si>
    <t>H</t>
  </si>
  <si>
    <t>Shah Rukh Khan</t>
  </si>
  <si>
    <t>Leonardo DiCaprio</t>
  </si>
  <si>
    <t xml:space="preserve"> ALLU ARJUN</t>
  </si>
  <si>
    <t xml:space="preserve"> CHEN zheyuan</t>
  </si>
  <si>
    <t>Bilal ABBAS</t>
  </si>
  <si>
    <t>I</t>
  </si>
  <si>
    <t>alia bhatt</t>
  </si>
  <si>
    <t>UPPER(D55)</t>
  </si>
  <si>
    <t>Scarlett Johansson</t>
  </si>
  <si>
    <t>UPPER(D56)</t>
  </si>
  <si>
    <t>SAMANTHA prabhu</t>
  </si>
  <si>
    <t>UPPER(D57)</t>
  </si>
  <si>
    <t>Zhao lusi</t>
  </si>
  <si>
    <t>UPPER(D58)</t>
  </si>
  <si>
    <t>hania Amir</t>
  </si>
  <si>
    <t>UPPER(D59)</t>
  </si>
  <si>
    <t>J</t>
  </si>
  <si>
    <t>Virat kohli</t>
  </si>
  <si>
    <t>LEN(D61)</t>
  </si>
  <si>
    <t>Babar Azam</t>
  </si>
  <si>
    <t>LEN(D62)</t>
  </si>
  <si>
    <t>Joe root</t>
  </si>
  <si>
    <t>LEN(D63)</t>
  </si>
  <si>
    <t>Steve smith</t>
  </si>
  <si>
    <t>LEN(D64)</t>
  </si>
  <si>
    <t>Ben stokes</t>
  </si>
  <si>
    <t>LEN(D65)</t>
  </si>
  <si>
    <t>K</t>
  </si>
  <si>
    <t>Indira Gandhi</t>
  </si>
  <si>
    <t>REPLACE(D67,7,12,"shi")</t>
  </si>
  <si>
    <t>Jawaharlal Nehru</t>
  </si>
  <si>
    <t>REPLACE(D68,6,12,"lal")</t>
  </si>
  <si>
    <t>A.P.J Abdul Kalam</t>
  </si>
  <si>
    <t>REPLACE(D69,6,12," kalam")</t>
  </si>
  <si>
    <t>B. R. Ambedkar</t>
  </si>
  <si>
    <t>REPLACE(D70,1,0," ")</t>
  </si>
  <si>
    <t>Pratibha Patil</t>
  </si>
  <si>
    <t>REPLACE(D71,9,12,"@")</t>
  </si>
  <si>
    <t>Jai</t>
  </si>
  <si>
    <t>CONCAT(E3,E4)</t>
  </si>
  <si>
    <t>Veeru</t>
  </si>
  <si>
    <t>Radha</t>
  </si>
  <si>
    <t>CONCAT(E6,E7)</t>
  </si>
  <si>
    <t>Sham</t>
  </si>
  <si>
    <t>CONCAT(E9,E10)</t>
  </si>
  <si>
    <t>End</t>
  </si>
  <si>
    <t>Strange</t>
  </si>
  <si>
    <t>CONCAT(E12,E13)</t>
  </si>
  <si>
    <t>Left</t>
  </si>
  <si>
    <t>CONCAT(E15,E16)</t>
  </si>
  <si>
    <t>Right</t>
  </si>
  <si>
    <t>Rainbow</t>
  </si>
  <si>
    <t>FIND("n",E18)</t>
  </si>
  <si>
    <t>Color</t>
  </si>
  <si>
    <t>FIND("C",E19)</t>
  </si>
  <si>
    <t>Space</t>
  </si>
  <si>
    <t>FIND("c",E20)</t>
  </si>
  <si>
    <t>Boss</t>
  </si>
  <si>
    <t>FIND("s",E21)</t>
  </si>
  <si>
    <t>Jack</t>
  </si>
  <si>
    <t>Red</t>
  </si>
  <si>
    <t>EXACT(E24,E25)</t>
  </si>
  <si>
    <t>Pink</t>
  </si>
  <si>
    <t>pink</t>
  </si>
  <si>
    <t>Orange</t>
  </si>
  <si>
    <t>EXACT(E30,E31)</t>
  </si>
  <si>
    <t>Orauge</t>
  </si>
  <si>
    <t>brown</t>
  </si>
  <si>
    <t>Brown</t>
  </si>
  <si>
    <t>Purple</t>
  </si>
  <si>
    <t>EXACT(E36,E37)</t>
  </si>
  <si>
    <t>RedShade</t>
  </si>
  <si>
    <t>LEFT(E39,3)</t>
  </si>
  <si>
    <t>Pinkwink</t>
  </si>
  <si>
    <t>LEFT(E40,4)</t>
  </si>
  <si>
    <t>OrangeOrange</t>
  </si>
  <si>
    <t>LEFT(E41,6)</t>
  </si>
  <si>
    <t>BrownCrown</t>
  </si>
  <si>
    <t>LEFT(E42,5)</t>
  </si>
  <si>
    <t>Purplehurdle</t>
  </si>
  <si>
    <t>LEFT(E43,6)</t>
  </si>
  <si>
    <t>RIGHT(E45,5)</t>
  </si>
  <si>
    <t>RIGHT(E46,4)</t>
  </si>
  <si>
    <t>RIGHT(E47,6)</t>
  </si>
  <si>
    <t>RIGHT(E48,5)</t>
  </si>
  <si>
    <t>RIGHT(E49,6)</t>
  </si>
  <si>
    <t>LEN(E51)</t>
  </si>
  <si>
    <t>LEN(E52)</t>
  </si>
  <si>
    <t>LEN(E53)</t>
  </si>
  <si>
    <t>LEN(E54)</t>
  </si>
  <si>
    <t>LEN(E55)</t>
  </si>
  <si>
    <t>LOWER(E57)</t>
  </si>
  <si>
    <t>pINK</t>
  </si>
  <si>
    <t>LOWER(E58)</t>
  </si>
  <si>
    <t>ORANGE</t>
  </si>
  <si>
    <t>LOWER(E59)</t>
  </si>
  <si>
    <t>Blue</t>
  </si>
  <si>
    <t>LOWER(E60)</t>
  </si>
  <si>
    <t>PurPLE</t>
  </si>
  <si>
    <t>LOWER(E61)</t>
  </si>
  <si>
    <t>UPPER(E69)</t>
  </si>
  <si>
    <t>UPPER(E70)</t>
  </si>
  <si>
    <t>UPPER(E71)</t>
  </si>
  <si>
    <t>UPPER(E72)</t>
  </si>
  <si>
    <t>UPPER(E73)</t>
  </si>
  <si>
    <t>PROPER(E75)</t>
  </si>
  <si>
    <t>PROPER(E76)</t>
  </si>
  <si>
    <t>PROPER(E77)</t>
  </si>
  <si>
    <t>PROPER(E78)</t>
  </si>
  <si>
    <t>PROPER(E79)</t>
  </si>
  <si>
    <t>REPLACE(E81,4,5,"Bus")</t>
  </si>
  <si>
    <t>REPLACE(E82,5,4,"Drink")</t>
  </si>
  <si>
    <t>REPLACE(E83,7,6," ")</t>
  </si>
  <si>
    <t>REPLACE(E84,1,5,"Royal")</t>
  </si>
  <si>
    <t>REPLACE(E85,1,6," ")</t>
  </si>
  <si>
    <t>Value</t>
  </si>
  <si>
    <t>HelloWorld</t>
  </si>
  <si>
    <t>CLEAN(B2)</t>
  </si>
  <si>
    <t>Data Entry</t>
  </si>
  <si>
    <t>CLEAN(B3)</t>
  </si>
  <si>
    <t>ExcelTraining</t>
  </si>
  <si>
    <t>CLEAN(B4)</t>
  </si>
  <si>
    <t>HRReport</t>
  </si>
  <si>
    <t>CLEAN(B5)</t>
  </si>
  <si>
    <t>EmployeeList</t>
  </si>
  <si>
    <t>CLEAN(B6)</t>
  </si>
  <si>
    <t>HR</t>
  </si>
  <si>
    <t>Report</t>
  </si>
  <si>
    <t>CONCAT(B7,C7)</t>
  </si>
  <si>
    <t xml:space="preserve">HR </t>
  </si>
  <si>
    <t>Manager</t>
  </si>
  <si>
    <t>CONCAT(B8,C8)</t>
  </si>
  <si>
    <t xml:space="preserve">Data </t>
  </si>
  <si>
    <t>Analyst</t>
  </si>
  <si>
    <t>CONCAT(B9,C9)</t>
  </si>
  <si>
    <t xml:space="preserve">Women </t>
  </si>
  <si>
    <t>Day</t>
  </si>
  <si>
    <t>CONCAT(B10,C10)</t>
  </si>
  <si>
    <t xml:space="preserve">Excel </t>
  </si>
  <si>
    <t>Training</t>
  </si>
  <si>
    <t>CONCAT(B11,C11)</t>
  </si>
  <si>
    <t>Hello</t>
  </si>
  <si>
    <t>FIND("l",B12,"4")</t>
  </si>
  <si>
    <t>Nagpur</t>
  </si>
  <si>
    <t>FIND("g",B13,"3")</t>
  </si>
  <si>
    <t>Excel</t>
  </si>
  <si>
    <t>FIND("x",B14,"2")</t>
  </si>
  <si>
    <t>Office</t>
  </si>
  <si>
    <t>FIND("c",B15,"5")</t>
  </si>
  <si>
    <t>Find("e",B16,"6")</t>
  </si>
  <si>
    <t>Employee</t>
  </si>
  <si>
    <t>EXACT(B17,C17)</t>
  </si>
  <si>
    <t>EXACT(B18,C18)</t>
  </si>
  <si>
    <t>hr</t>
  </si>
  <si>
    <t>EXACT(B19,C19)</t>
  </si>
  <si>
    <t>data</t>
  </si>
  <si>
    <t>EXACT(B20,C20)</t>
  </si>
  <si>
    <t xml:space="preserve">Nagpur </t>
  </si>
  <si>
    <t>nagpur</t>
  </si>
  <si>
    <t>EXACT(B21,C21)</t>
  </si>
  <si>
    <t>LEFT(B22,"3")</t>
  </si>
  <si>
    <t>LEFT(B23,"5")</t>
  </si>
  <si>
    <t>LEFT("Excel",2)</t>
  </si>
  <si>
    <t>Ex</t>
  </si>
  <si>
    <t>LEFT("Office",3)</t>
  </si>
  <si>
    <t>Off</t>
  </si>
  <si>
    <t>LEFT("Employee",4)</t>
  </si>
  <si>
    <t>Empl</t>
  </si>
  <si>
    <t>LEN(B27)</t>
  </si>
  <si>
    <t>LEN(B28)</t>
  </si>
  <si>
    <t>LEN(B29)</t>
  </si>
  <si>
    <t>LEN(B30)</t>
  </si>
  <si>
    <t>LEN(B31)</t>
  </si>
  <si>
    <t>EXCEL</t>
  </si>
  <si>
    <t>lower(B32)</t>
  </si>
  <si>
    <t>HR MANAGER</t>
  </si>
  <si>
    <t>lower(B33)</t>
  </si>
  <si>
    <t>DATA</t>
  </si>
  <si>
    <t>lower(B34)</t>
  </si>
  <si>
    <t>OFFICE</t>
  </si>
  <si>
    <t>lower(B35)</t>
  </si>
  <si>
    <t>TRAINING</t>
  </si>
  <si>
    <t>lower(B36)</t>
  </si>
  <si>
    <t>MID(B37,2,5)</t>
  </si>
  <si>
    <t>MID(B38,1,3)</t>
  </si>
  <si>
    <t>MID(B39,2,5)</t>
  </si>
  <si>
    <t>MID(B40,3,5)</t>
  </si>
  <si>
    <t>MID(B41,2,4)</t>
  </si>
  <si>
    <t>excel</t>
  </si>
  <si>
    <t>PROPER(B42)</t>
  </si>
  <si>
    <t>hr manager</t>
  </si>
  <si>
    <t>PROPER(B43)</t>
  </si>
  <si>
    <t>excel training</t>
  </si>
  <si>
    <t>PROPER(B44)</t>
  </si>
  <si>
    <t>data analyst</t>
  </si>
  <si>
    <t>PROPER(B45)</t>
  </si>
  <si>
    <t>women day</t>
  </si>
  <si>
    <t>PROPER(B46)</t>
  </si>
  <si>
    <t>RIGHT(B47,3)</t>
  </si>
  <si>
    <t>RIGHT(B48,2)</t>
  </si>
  <si>
    <t>RIGHT(B49,4)</t>
  </si>
  <si>
    <t>RIGHT(B50,3)</t>
  </si>
  <si>
    <t>RIGHT(B51,3)</t>
  </si>
  <si>
    <t>REPLACE(B52,1,4,"penci")</t>
  </si>
  <si>
    <t>REPLACE(B53,1,3,"kan")</t>
  </si>
  <si>
    <t>Cadbury</t>
  </si>
  <si>
    <t>REPLACE(B54,1,5,"februa")</t>
  </si>
  <si>
    <t>Icecream</t>
  </si>
  <si>
    <t>REPLACE(B55,4,8,"box")</t>
  </si>
  <si>
    <t>Excel Data</t>
  </si>
  <si>
    <t>REPLACE(B56,1,5,"Employee")</t>
  </si>
  <si>
    <t>UPPER(B57)</t>
  </si>
  <si>
    <t>UPPER(B58)</t>
  </si>
  <si>
    <t>UPPER(B59)</t>
  </si>
  <si>
    <t>office</t>
  </si>
  <si>
    <t>UPPER(B60)</t>
  </si>
  <si>
    <t>training</t>
  </si>
  <si>
    <t>UPPER(B61)</t>
  </si>
  <si>
    <t>NISHA BHAGAT</t>
  </si>
  <si>
    <t>METHOD</t>
  </si>
  <si>
    <t>VALUES</t>
  </si>
  <si>
    <t>A.</t>
  </si>
  <si>
    <t>dark</t>
  </si>
  <si>
    <t>chocolate</t>
  </si>
  <si>
    <t>CONCAT(F6,G6)</t>
  </si>
  <si>
    <t>Non</t>
  </si>
  <si>
    <t>Vegetarian</t>
  </si>
  <si>
    <t>CONCAT(F7,G7)</t>
  </si>
  <si>
    <t>butter</t>
  </si>
  <si>
    <t>fly</t>
  </si>
  <si>
    <t>CONCAT(F8,G8)</t>
  </si>
  <si>
    <t>Eye</t>
  </si>
  <si>
    <t>sight</t>
  </si>
  <si>
    <t>CONCAT(F9,G9)</t>
  </si>
  <si>
    <t>Home</t>
  </si>
  <si>
    <t>Made</t>
  </si>
  <si>
    <t>CONCAT(F10,G10)</t>
  </si>
  <si>
    <t>B.</t>
  </si>
  <si>
    <t>friendship</t>
  </si>
  <si>
    <t>CLEAN(F12)</t>
  </si>
  <si>
    <t>Backbone</t>
  </si>
  <si>
    <t>CLEAN(F13)</t>
  </si>
  <si>
    <t>CLEAN(F14)</t>
  </si>
  <si>
    <t>CLEAN(F15)</t>
  </si>
  <si>
    <t>garden</t>
  </si>
  <si>
    <t>CLEAN(F16)</t>
  </si>
  <si>
    <t>C.</t>
  </si>
  <si>
    <t>IceCream</t>
  </si>
  <si>
    <t>Ice-Cream</t>
  </si>
  <si>
    <t>EXACT(F18,G18)</t>
  </si>
  <si>
    <t>Medicine</t>
  </si>
  <si>
    <t>medicine</t>
  </si>
  <si>
    <t>EXACT(F19,G19)</t>
  </si>
  <si>
    <t>juice</t>
  </si>
  <si>
    <t>EXACT(F20,G20)</t>
  </si>
  <si>
    <t>FOOD</t>
  </si>
  <si>
    <t>food</t>
  </si>
  <si>
    <t>EXACT(F21,G21)</t>
  </si>
  <si>
    <t>WAFERS</t>
  </si>
  <si>
    <t>EXACT(F22,G22)</t>
  </si>
  <si>
    <t>D.</t>
  </si>
  <si>
    <t>FIND("t",F24,"4")</t>
  </si>
  <si>
    <t>door</t>
  </si>
  <si>
    <t>FIND("o",F25,"1")</t>
  </si>
  <si>
    <t>floor</t>
  </si>
  <si>
    <t>FIND("o",F26,"2")</t>
  </si>
  <si>
    <t>mammy</t>
  </si>
  <si>
    <t>FIND("m",F27,"1")</t>
  </si>
  <si>
    <t>cook</t>
  </si>
  <si>
    <t>FIND("o",F28,"2")</t>
  </si>
  <si>
    <t>E.</t>
  </si>
  <si>
    <t>LEFT(F30,3)</t>
  </si>
  <si>
    <t>pune</t>
  </si>
  <si>
    <t>LEFT(F31,2)</t>
  </si>
  <si>
    <t>LEFT(F32,5)</t>
  </si>
  <si>
    <t>nashik</t>
  </si>
  <si>
    <t>LEFT(F33,4)</t>
  </si>
  <si>
    <t>akola</t>
  </si>
  <si>
    <t>LEFT(F34,1)</t>
  </si>
  <si>
    <t>F.</t>
  </si>
  <si>
    <t>calender</t>
  </si>
  <si>
    <t>RIGHT(F36,5)</t>
  </si>
  <si>
    <t>rabit</t>
  </si>
  <si>
    <t>RIGHT(F37,2)</t>
  </si>
  <si>
    <t>flower</t>
  </si>
  <si>
    <t>RIGHT(F38,3)</t>
  </si>
  <si>
    <t>bouquet</t>
  </si>
  <si>
    <t>RIGHT(F39,4)</t>
  </si>
  <si>
    <t>birthday</t>
  </si>
  <si>
    <t>RIGHT(F40,3)</t>
  </si>
  <si>
    <t>G.</t>
  </si>
  <si>
    <t>alien</t>
  </si>
  <si>
    <t>MID(F42,2,3)</t>
  </si>
  <si>
    <t>fish</t>
  </si>
  <si>
    <t>MID(F43,2,2)</t>
  </si>
  <si>
    <t>cloth</t>
  </si>
  <si>
    <t>MID(F44,2,3)</t>
  </si>
  <si>
    <t>temperature</t>
  </si>
  <si>
    <t>MID(F45,6,3)</t>
  </si>
  <si>
    <t>clouds</t>
  </si>
  <si>
    <t>MID(F46,2,4)</t>
  </si>
  <si>
    <t>H.</t>
  </si>
  <si>
    <t>railway</t>
  </si>
  <si>
    <t>REPLACE(F48,1,4,"high")</t>
  </si>
  <si>
    <t>january</t>
  </si>
  <si>
    <t>REPLACE(F49,1,3,"febr")</t>
  </si>
  <si>
    <t>special</t>
  </si>
  <si>
    <t>REPLACE(F50,3,5,"ace")</t>
  </si>
  <si>
    <t>groupstudy</t>
  </si>
  <si>
    <t>REPLACE(F51,1,5,"self")</t>
  </si>
  <si>
    <t>cell</t>
  </si>
  <si>
    <t>REPLACE(F52,1,1,"b")</t>
  </si>
  <si>
    <t>I.</t>
  </si>
  <si>
    <t>Computer</t>
  </si>
  <si>
    <t>LOWER(F54)</t>
  </si>
  <si>
    <t>CHIPS</t>
  </si>
  <si>
    <t>LOWER(F55)</t>
  </si>
  <si>
    <t>PHone</t>
  </si>
  <si>
    <t>LOWER(F56)</t>
  </si>
  <si>
    <t>BuildING</t>
  </si>
  <si>
    <t>LOWER(F57)</t>
  </si>
  <si>
    <t>MAChiNe</t>
  </si>
  <si>
    <t>LOWER(F58)</t>
  </si>
  <si>
    <t>J.</t>
  </si>
  <si>
    <t>eagle</t>
  </si>
  <si>
    <t>UPPER(F60)</t>
  </si>
  <si>
    <t>tree</t>
  </si>
  <si>
    <t>UPPER(F61)</t>
  </si>
  <si>
    <t>sparrow</t>
  </si>
  <si>
    <t>UPPER(F62)</t>
  </si>
  <si>
    <t>water</t>
  </si>
  <si>
    <t>UPPER(F63)</t>
  </si>
  <si>
    <t>cat</t>
  </si>
  <si>
    <t>UPPER(F64)</t>
  </si>
  <si>
    <t>K.</t>
  </si>
  <si>
    <t>window</t>
  </si>
  <si>
    <t>LEN(F66)</t>
  </si>
  <si>
    <t>glass</t>
  </si>
  <si>
    <t>LEN(F67)</t>
  </si>
  <si>
    <t>ice</t>
  </si>
  <si>
    <t>LEN(F68)</t>
  </si>
  <si>
    <t>rectangle</t>
  </si>
  <si>
    <t>LEN(F69)</t>
  </si>
  <si>
    <t>lipstick</t>
  </si>
  <si>
    <t>LEN(F70)</t>
  </si>
  <si>
    <t>L.</t>
  </si>
  <si>
    <t>singing</t>
  </si>
  <si>
    <t>PROPER(F72)</t>
  </si>
  <si>
    <t>time tablE</t>
  </si>
  <si>
    <t>PROPER(F73)</t>
  </si>
  <si>
    <t>dancEing</t>
  </si>
  <si>
    <t>PROPER(F74)</t>
  </si>
  <si>
    <t>EYES</t>
  </si>
  <si>
    <t>PROPER(F75)</t>
  </si>
  <si>
    <t>DReam</t>
  </si>
  <si>
    <t>PROPER(F76)</t>
  </si>
  <si>
    <t>CHAR</t>
  </si>
  <si>
    <t>CONCAT(F$12,CHAR(10),G$12)</t>
  </si>
  <si>
    <t>Cup
 Cake</t>
  </si>
  <si>
    <t>CONCAT(F$13,CHAR(10),"-",G$13)</t>
  </si>
  <si>
    <t>Khushi
 -Saami</t>
  </si>
  <si>
    <t>CONCAT(F$14,CHAR(10)," ",G$14)</t>
  </si>
  <si>
    <t>Samosa
  Chaat</t>
  </si>
  <si>
    <t>CONCAT(F$15,CHAR(10)," * ",G$15)</t>
  </si>
  <si>
    <t>Lion
  * King</t>
  </si>
  <si>
    <t>CONCAT(F$16,CHAR(10)," - ",G$16)</t>
  </si>
  <si>
    <t>Meher
  - ARC</t>
  </si>
  <si>
    <t>Cup</t>
  </si>
  <si>
    <t>Cake</t>
  </si>
  <si>
    <t>CONCAT(F$12,G$12)</t>
  </si>
  <si>
    <t>Khushi</t>
  </si>
  <si>
    <t>Saami</t>
  </si>
  <si>
    <t>Samosa</t>
  </si>
  <si>
    <t>Chaat</t>
  </si>
  <si>
    <t>CONCAT(F$14,G$14)</t>
  </si>
  <si>
    <t>Lion</t>
  </si>
  <si>
    <t>CONCAT(F$15," * ",G$15)</t>
  </si>
  <si>
    <t>Meher</t>
  </si>
  <si>
    <t>ARC</t>
  </si>
  <si>
    <t>CONCAT(F$16," - ",G$16)</t>
  </si>
  <si>
    <t>Sagar 
Wasnik</t>
  </si>
  <si>
    <t>Khushi -
Ramteke</t>
  </si>
  <si>
    <t>Savlon 
Khan</t>
  </si>
  <si>
    <t>Amresh 
Puri</t>
  </si>
  <si>
    <t>Star</t>
  </si>
  <si>
    <t>Light</t>
  </si>
  <si>
    <t>EXACT(F25,G25)</t>
  </si>
  <si>
    <t>GOLGAPPE</t>
  </si>
  <si>
    <t>EXACT(F26,G26)</t>
  </si>
  <si>
    <t>TWILIGHT</t>
  </si>
  <si>
    <t>zone</t>
  </si>
  <si>
    <t>EXACT(F27,G27)</t>
  </si>
  <si>
    <t>galaxy30</t>
  </si>
  <si>
    <t>EXACT(F28,G28)</t>
  </si>
  <si>
    <t>SKY</t>
  </si>
  <si>
    <t>DivING</t>
  </si>
  <si>
    <t>EXACT(F29,G29)</t>
  </si>
  <si>
    <t>Home Tab</t>
  </si>
  <si>
    <t>FIND("T",F32)</t>
  </si>
  <si>
    <t>Selena</t>
  </si>
  <si>
    <t>FIND("e",F33,3)</t>
  </si>
  <si>
    <t>Data - 20</t>
  </si>
  <si>
    <t>FIND("20",F34,5)</t>
  </si>
  <si>
    <t>Youtube-A2</t>
  </si>
  <si>
    <t>FIND("tube",F35)</t>
  </si>
  <si>
    <t>The Weeknd</t>
  </si>
  <si>
    <t>FIND("nd",F36)</t>
  </si>
  <si>
    <t>Sao Paulo</t>
  </si>
  <si>
    <t>LEFT(F39,3)</t>
  </si>
  <si>
    <t>LEFT(F40,2)</t>
  </si>
  <si>
    <t>Font-P</t>
  </si>
  <si>
    <t>LEFT(F41,6)</t>
  </si>
  <si>
    <t>Show</t>
  </si>
  <si>
    <t>LEFT(F42,2)</t>
  </si>
  <si>
    <t>P-Try</t>
  </si>
  <si>
    <t>LEFT(F43,3)</t>
  </si>
  <si>
    <t>ApplePie</t>
  </si>
  <si>
    <t>RIGHT(F46,3)</t>
  </si>
  <si>
    <t>Rain-Forest</t>
  </si>
  <si>
    <t>RIGHT(F47,9)</t>
  </si>
  <si>
    <t>X -1Direction</t>
  </si>
  <si>
    <t>RIGHT(F48,11)</t>
  </si>
  <si>
    <t>Autum</t>
  </si>
  <si>
    <t>RIGHT(F49,2)</t>
  </si>
  <si>
    <t>Copy</t>
  </si>
  <si>
    <t>RIGHT(F50,1)</t>
  </si>
  <si>
    <t>MID(F53,1,3)</t>
  </si>
  <si>
    <t>Holdin'</t>
  </si>
  <si>
    <t>MID(F54,4,4)</t>
  </si>
  <si>
    <t>Cat</t>
  </si>
  <si>
    <t>MID(F55,2,2)</t>
  </si>
  <si>
    <t>Shift</t>
  </si>
  <si>
    <t>MID(F56,3,1)</t>
  </si>
  <si>
    <t>Justin</t>
  </si>
  <si>
    <t>MID(F57,1,4)</t>
  </si>
  <si>
    <t>5SOS</t>
  </si>
  <si>
    <t>LOWER(F60)</t>
  </si>
  <si>
    <t>bETTer</t>
  </si>
  <si>
    <t>LOWER(F61)</t>
  </si>
  <si>
    <t>TREaT</t>
  </si>
  <si>
    <t>LOWER(F62)</t>
  </si>
  <si>
    <t>HE</t>
  </si>
  <si>
    <t>LOWER(F63)</t>
  </si>
  <si>
    <t>LARGE</t>
  </si>
  <si>
    <t>LOWER(F64)</t>
  </si>
  <si>
    <t>right</t>
  </si>
  <si>
    <t>UPPER(F67)</t>
  </si>
  <si>
    <t>FELL-up</t>
  </si>
  <si>
    <t>UPPER(F68)</t>
  </si>
  <si>
    <t>aTTentION</t>
  </si>
  <si>
    <t>UPPER(F69)</t>
  </si>
  <si>
    <t>duMb</t>
  </si>
  <si>
    <t>UPPER(F70)</t>
  </si>
  <si>
    <t>Sea</t>
  </si>
  <si>
    <t>UPPER(F71)</t>
  </si>
  <si>
    <t>Snake</t>
  </si>
  <si>
    <t>LEN(F74)</t>
  </si>
  <si>
    <t>Extraordinary</t>
  </si>
  <si>
    <t>LEN(F75)</t>
  </si>
  <si>
    <t>Up*</t>
  </si>
  <si>
    <t>LEN(F76)</t>
  </si>
  <si>
    <t>Milky-way</t>
  </si>
  <si>
    <t>LEN(F77)</t>
  </si>
  <si>
    <t>snow</t>
  </si>
  <si>
    <t>LEN(F78)</t>
  </si>
  <si>
    <t>Black:color</t>
  </si>
  <si>
    <t>REPLACE(F81,6,6,":white")</t>
  </si>
  <si>
    <t>Courtroom</t>
  </si>
  <si>
    <t>REPLACE(F82,6,6,"1")</t>
  </si>
  <si>
    <t>Honey-</t>
  </si>
  <si>
    <t>REPLACE(F83,7,3,"Bee")</t>
  </si>
  <si>
    <t>copy20</t>
  </si>
  <si>
    <t>REPLACE(F84,3,4,"25")</t>
  </si>
  <si>
    <t>Number</t>
  </si>
  <si>
    <t>REPLACE(F85,7,5,"1")</t>
  </si>
  <si>
    <t>bEauty</t>
  </si>
  <si>
    <t>PROPER(F88)</t>
  </si>
  <si>
    <t>ALOOCHAAT</t>
  </si>
  <si>
    <t>PROPER(F89)</t>
  </si>
  <si>
    <t>Down-Town</t>
  </si>
  <si>
    <t>PROPER(F90)</t>
  </si>
  <si>
    <t>paint</t>
  </si>
  <si>
    <t>PROPER(F91)</t>
  </si>
  <si>
    <t>sAm - 123</t>
  </si>
  <si>
    <t>PROPER(F92)</t>
  </si>
  <si>
    <t>Sr.No</t>
  </si>
  <si>
    <t>day</t>
  </si>
  <si>
    <t>CONCAT(E4,F4)</t>
  </si>
  <si>
    <t>Jammu</t>
  </si>
  <si>
    <t>Kashmir</t>
  </si>
  <si>
    <t>CONCAT(E5,F5)</t>
  </si>
  <si>
    <t>Book</t>
  </si>
  <si>
    <t>store</t>
  </si>
  <si>
    <t>CONCAT(E6,F6)</t>
  </si>
  <si>
    <t>Note</t>
  </si>
  <si>
    <t>book</t>
  </si>
  <si>
    <t>CONCAT(E7,F7)</t>
  </si>
  <si>
    <t>Hand</t>
  </si>
  <si>
    <t>bag</t>
  </si>
  <si>
    <t>CONCAT(E8,F8)</t>
  </si>
  <si>
    <t>shifa      -qazii</t>
  </si>
  <si>
    <t>CLEAN(E10)</t>
  </si>
  <si>
    <t>dining table</t>
  </si>
  <si>
    <t>CLEAN(E12)</t>
  </si>
  <si>
    <t>timeTable</t>
  </si>
  <si>
    <t>CLEAN(E13)</t>
  </si>
  <si>
    <t>user@id</t>
  </si>
  <si>
    <t>tea Spoon</t>
  </si>
  <si>
    <t>CLEAN(E15)</t>
  </si>
  <si>
    <t>shifa</t>
  </si>
  <si>
    <t>Shifa</t>
  </si>
  <si>
    <t>EXACT(E19,F19)</t>
  </si>
  <si>
    <t>EXACT(E20,F20)</t>
  </si>
  <si>
    <t>part-time</t>
  </si>
  <si>
    <t>part time</t>
  </si>
  <si>
    <t>EXACT(E21,F21)</t>
  </si>
  <si>
    <t>India</t>
  </si>
  <si>
    <t>EXACT(E22,F22)</t>
  </si>
  <si>
    <t>Cooler</t>
  </si>
  <si>
    <t>EXACT(E23,F23)</t>
  </si>
  <si>
    <t>chair</t>
  </si>
  <si>
    <t>FIND("c",E26)</t>
  </si>
  <si>
    <t>Balcony</t>
  </si>
  <si>
    <t>FIND("y",E27)</t>
  </si>
  <si>
    <t>Bed</t>
  </si>
  <si>
    <t>FIND("e",E28)</t>
  </si>
  <si>
    <t>sofa</t>
  </si>
  <si>
    <t>FIND("f",E29)</t>
  </si>
  <si>
    <t>FIND("d",E30)</t>
  </si>
  <si>
    <t>LEFT(E33,4)</t>
  </si>
  <si>
    <t>veg-biryani</t>
  </si>
  <si>
    <t>LEFT(E34,8)</t>
  </si>
  <si>
    <t>panipuri</t>
  </si>
  <si>
    <t>LEFT(E35,5)</t>
  </si>
  <si>
    <t>aaluchaat</t>
  </si>
  <si>
    <t>LEFT(E36,6)</t>
  </si>
  <si>
    <t>sevpuri</t>
  </si>
  <si>
    <t>LEFT(E37,3)</t>
  </si>
  <si>
    <t>bangladesh</t>
  </si>
  <si>
    <t>RIGHT(E40,5)</t>
  </si>
  <si>
    <t>Iran</t>
  </si>
  <si>
    <t>RIGHT(E41,4)</t>
  </si>
  <si>
    <t>RIGHT(E42,2)</t>
  </si>
  <si>
    <t>RIGHT(E43,4)</t>
  </si>
  <si>
    <t>russia</t>
  </si>
  <si>
    <t>RIGHT(E44,2)</t>
  </si>
  <si>
    <t xml:space="preserve">RUCHITA </t>
  </si>
  <si>
    <t>JOIN/CONCAT</t>
  </si>
  <si>
    <t>Motor</t>
  </si>
  <si>
    <t>CONCAT(D6,E6)</t>
  </si>
  <si>
    <t xml:space="preserve">Air </t>
  </si>
  <si>
    <t>conditionar</t>
  </si>
  <si>
    <t>Maker</t>
  </si>
  <si>
    <t xml:space="preserve"> CONCAT(E8,F8)</t>
  </si>
  <si>
    <t>Water</t>
  </si>
  <si>
    <t>Pump</t>
  </si>
  <si>
    <t>CONCAT(E9,F9)</t>
  </si>
  <si>
    <t>Washing</t>
  </si>
  <si>
    <t>Machine</t>
  </si>
  <si>
    <t xml:space="preserve"> CONCAT(E10,F10)</t>
  </si>
  <si>
    <t>Pen</t>
  </si>
  <si>
    <t>Laptop</t>
  </si>
  <si>
    <t>CLEAN(E14)</t>
  </si>
  <si>
    <t>Mobile</t>
  </si>
  <si>
    <t>CLEAN(E16)</t>
  </si>
  <si>
    <t>CPU</t>
  </si>
  <si>
    <t>CLEAN(E17)</t>
  </si>
  <si>
    <t>Apple</t>
  </si>
  <si>
    <t>apple</t>
  </si>
  <si>
    <t>berry</t>
  </si>
  <si>
    <t>Strawberry</t>
  </si>
  <si>
    <t>strawberry</t>
  </si>
  <si>
    <t>Notebook</t>
  </si>
  <si>
    <t>FIND("b",E25,5)</t>
  </si>
  <si>
    <t>FIND("i",E26,2)</t>
  </si>
  <si>
    <t>FIND("d",E27,4)</t>
  </si>
  <si>
    <t>FIND("o",E28,7)</t>
  </si>
  <si>
    <t>Homework</t>
  </si>
  <si>
    <t>FIND("k",E29,8)</t>
  </si>
  <si>
    <t>TCS</t>
  </si>
  <si>
    <t>LEFT(E31,2)</t>
  </si>
  <si>
    <t>Reliance</t>
  </si>
  <si>
    <t>LEFT(E32,4)</t>
  </si>
  <si>
    <t>Lenovo</t>
  </si>
  <si>
    <t>LEFT(E33,3)</t>
  </si>
  <si>
    <t>Nikon</t>
  </si>
  <si>
    <t>LEFT(E34,4)</t>
  </si>
  <si>
    <t>Samsung</t>
  </si>
  <si>
    <t>LEFT(E35,6)</t>
  </si>
  <si>
    <t>RIGHT(E37,3)</t>
  </si>
  <si>
    <t>Jaipur</t>
  </si>
  <si>
    <t>RIGHT(E38,2)</t>
  </si>
  <si>
    <t>RIGHT(E39,5)</t>
  </si>
  <si>
    <t>RIGHT(E40,7)</t>
  </si>
  <si>
    <t>Surat</t>
  </si>
  <si>
    <t>Table</t>
  </si>
  <si>
    <t>LOWER(E43)</t>
  </si>
  <si>
    <t>Chair</t>
  </si>
  <si>
    <t>LOWER(E44)</t>
  </si>
  <si>
    <t>Fan</t>
  </si>
  <si>
    <t>LOWER(E45)</t>
  </si>
  <si>
    <t>Window</t>
  </si>
  <si>
    <t>LOWER(E46)</t>
  </si>
  <si>
    <t>Bottle</t>
  </si>
  <si>
    <t>LOWER(E47)</t>
  </si>
  <si>
    <t>paper</t>
  </si>
  <si>
    <t>UPPER(E49)</t>
  </si>
  <si>
    <t>Marker</t>
  </si>
  <si>
    <t>UPPER(E50)</t>
  </si>
  <si>
    <t>Folder</t>
  </si>
  <si>
    <t>UPPER(E51)</t>
  </si>
  <si>
    <t>Car</t>
  </si>
  <si>
    <t>UPPER(E52)</t>
  </si>
  <si>
    <t>Food</t>
  </si>
  <si>
    <t>UPPER(E53)</t>
  </si>
  <si>
    <t>Station</t>
  </si>
  <si>
    <t>LEN(E56)</t>
  </si>
  <si>
    <t>Garden</t>
  </si>
  <si>
    <t>LEN(E57)</t>
  </si>
  <si>
    <t>Tree</t>
  </si>
  <si>
    <t>LEN(E58)</t>
  </si>
  <si>
    <t>LEN(E59)</t>
  </si>
  <si>
    <t>Bigbasket</t>
  </si>
  <si>
    <t>MID(E61,4,2)</t>
  </si>
  <si>
    <t>January</t>
  </si>
  <si>
    <t>MID(E62,3,6)</t>
  </si>
  <si>
    <t>Vegetable</t>
  </si>
  <si>
    <t>MID(E63,5,7)</t>
  </si>
  <si>
    <t>Month</t>
  </si>
  <si>
    <t>MID(E64,3,4)</t>
  </si>
  <si>
    <t>Watch</t>
  </si>
  <si>
    <t>MID(E65,2,5)</t>
  </si>
  <si>
    <t>Barnch</t>
  </si>
  <si>
    <t>REPLACE(E67,4,2,"n")</t>
  </si>
  <si>
    <t xml:space="preserve">Saving </t>
  </si>
  <si>
    <t>REPLACE(E68,3,5,"v")</t>
  </si>
  <si>
    <t>Passbook</t>
  </si>
  <si>
    <t>REPLACE(E69,4,6,"b")</t>
  </si>
  <si>
    <t>Customer</t>
  </si>
  <si>
    <t>REPLACE(E70,6,3,"t")</t>
  </si>
  <si>
    <t>Current</t>
  </si>
  <si>
    <t>REPLACE(E71,5,2,"u")</t>
  </si>
  <si>
    <t>Online class</t>
  </si>
  <si>
    <t>PROPER(E73)</t>
  </si>
  <si>
    <t>Business studies</t>
  </si>
  <si>
    <t>PROPER(E74)</t>
  </si>
  <si>
    <t>Computer science</t>
  </si>
  <si>
    <t>Digital marketing</t>
  </si>
  <si>
    <t>Technical skills</t>
  </si>
  <si>
    <t>JUHI</t>
  </si>
  <si>
    <t>Sr. no</t>
  </si>
  <si>
    <t>Contact</t>
  </si>
  <si>
    <t>sun</t>
  </si>
  <si>
    <t>CONCAT(D5,D6)</t>
  </si>
  <si>
    <t>light</t>
  </si>
  <si>
    <t>CONCAT(D8,D9)</t>
  </si>
  <si>
    <t xml:space="preserve">Key </t>
  </si>
  <si>
    <t>CONCAT(D11,D12)</t>
  </si>
  <si>
    <t>Board</t>
  </si>
  <si>
    <t>Lap</t>
  </si>
  <si>
    <t>CONCAT(D14,D15)</t>
  </si>
  <si>
    <t>Top</t>
  </si>
  <si>
    <t>CONCAT(D17,D18)</t>
  </si>
  <si>
    <t>tannis</t>
  </si>
  <si>
    <t>LEN("pen")</t>
  </si>
  <si>
    <t>LEN("book")</t>
  </si>
  <si>
    <t>LEN("Sun")</t>
  </si>
  <si>
    <t>Moon</t>
  </si>
  <si>
    <t>LEN("Moon")</t>
  </si>
  <si>
    <t>LEN("Star")</t>
  </si>
  <si>
    <t>Sr.no</t>
  </si>
  <si>
    <t>Sandesh</t>
  </si>
  <si>
    <t>CONCAT(E$5,E$6)</t>
  </si>
  <si>
    <t>Arc</t>
  </si>
  <si>
    <t>CONCAT(E$8,E$9)</t>
  </si>
  <si>
    <t>sheet</t>
  </si>
  <si>
    <t>CONCAT(E$11,E$12)</t>
  </si>
  <si>
    <t>Technology</t>
  </si>
  <si>
    <t>Word</t>
  </si>
  <si>
    <t>CONCAT(E$14,E$15)</t>
  </si>
  <si>
    <t>Document</t>
  </si>
  <si>
    <t>School</t>
  </si>
  <si>
    <t>CONCAT(E$17,E$18)</t>
  </si>
  <si>
    <t>Friend</t>
  </si>
  <si>
    <t>Work</t>
  </si>
  <si>
    <t>&gt;</t>
  </si>
  <si>
    <t>CLEAN(E21)</t>
  </si>
  <si>
    <t>Sum</t>
  </si>
  <si>
    <t>CLEAN(E22)</t>
  </si>
  <si>
    <t>Family</t>
  </si>
  <si>
    <t>CLEAN(E23)</t>
  </si>
  <si>
    <t>CLEAN(D24)</t>
  </si>
  <si>
    <t>value</t>
  </si>
  <si>
    <t>CLEAN(E25)</t>
  </si>
  <si>
    <t>EXCAT</t>
  </si>
  <si>
    <t>EXACT(D28,D29)</t>
  </si>
  <si>
    <t>work</t>
  </si>
  <si>
    <t>EXACT(D30,D31)</t>
  </si>
  <si>
    <t>Format</t>
  </si>
  <si>
    <t>Java</t>
  </si>
  <si>
    <t>EXACT(D32,D33)</t>
  </si>
  <si>
    <t>power</t>
  </si>
  <si>
    <t>EXACT(D34,D35)</t>
  </si>
  <si>
    <t>Bank</t>
  </si>
  <si>
    <t>Serial</t>
  </si>
  <si>
    <t>EXACT(D36,D37)</t>
  </si>
  <si>
    <t>number</t>
  </si>
  <si>
    <t>FIND("d",E39,3)</t>
  </si>
  <si>
    <t>FIND("u",D40,3)</t>
  </si>
  <si>
    <t>FIND("d",E41,4)</t>
  </si>
  <si>
    <t>FIND("t",E42,5)</t>
  </si>
  <si>
    <t>FIND("r",D43,2)</t>
  </si>
  <si>
    <t>LEFT(E45,3)</t>
  </si>
  <si>
    <t>San</t>
  </si>
  <si>
    <t>Power</t>
  </si>
  <si>
    <t>LEFT(E46,2)</t>
  </si>
  <si>
    <t>Po</t>
  </si>
  <si>
    <t>LEFT(E47,5)</t>
  </si>
  <si>
    <t>Noteb</t>
  </si>
  <si>
    <t>LEFT(E48,4)</t>
  </si>
  <si>
    <t>Form</t>
  </si>
  <si>
    <t>LEFT(E49,6)</t>
  </si>
  <si>
    <t>Formul</t>
  </si>
  <si>
    <t>RIGHT(E51,3)</t>
  </si>
  <si>
    <t>esh</t>
  </si>
  <si>
    <t>RIGHT(E52,4)</t>
  </si>
  <si>
    <t>ower</t>
  </si>
  <si>
    <t>RIGHT(E53,6)</t>
  </si>
  <si>
    <t>tebook</t>
  </si>
  <si>
    <t>RIGHT(E54,5)</t>
  </si>
  <si>
    <t>ormat</t>
  </si>
  <si>
    <t>RIGHT(E55,3)</t>
  </si>
  <si>
    <t>ula</t>
  </si>
  <si>
    <t>MID(E57,2,6)</t>
  </si>
  <si>
    <t>MID(E58,2,6)</t>
  </si>
  <si>
    <t>MID(E59,2,6)</t>
  </si>
  <si>
    <t>MID(E60,2,6)</t>
  </si>
  <si>
    <t>MID(E61,2,6)</t>
  </si>
  <si>
    <t>LOWER(E63)</t>
  </si>
  <si>
    <t>LOWER(E64)</t>
  </si>
  <si>
    <t>LOWER(E65)</t>
  </si>
  <si>
    <t>LOWER(E66)</t>
  </si>
  <si>
    <t>LOWER(E67)</t>
  </si>
  <si>
    <t>REPLACE(E75,3,5,"E")</t>
  </si>
  <si>
    <t>REPLACE(E76,3,5,"E")</t>
  </si>
  <si>
    <t>REPLACE(E77,3,5,"E")</t>
  </si>
  <si>
    <t>REPLACE(E78,3,5,"E")</t>
  </si>
  <si>
    <t>REPLACE(E79,3,5,"E")</t>
  </si>
  <si>
    <t>PROPER(E81)</t>
  </si>
  <si>
    <t>PROPER(E82)</t>
  </si>
  <si>
    <t>WiLLAMS17</t>
  </si>
  <si>
    <t>PROPER(E83)</t>
  </si>
  <si>
    <t>PROPER(E84)</t>
  </si>
  <si>
    <t>PROPER(E85)</t>
  </si>
  <si>
    <t>Char</t>
  </si>
  <si>
    <t>CONCATENATE(C$9, CHAR(10)," - ",C$10)</t>
  </si>
  <si>
    <t>CONCATENATE(D$13,CHAR(10)," - ",D$12)</t>
  </si>
  <si>
    <t>CONCATENATE(D$15,CHAR(10)," - ",D$16)</t>
  </si>
  <si>
    <t>CONCATENATE(D$18,CHAR(10)," -",D$19)</t>
  </si>
  <si>
    <t>CONCATENATE(D22,CHAR(10)," - ",D23)</t>
  </si>
  <si>
    <t>Join / Concat</t>
  </si>
  <si>
    <t>CONCATENATE(C$9," - ",C$10)</t>
  </si>
  <si>
    <t>CONCATENATE(D$13," - ",D$12)</t>
  </si>
  <si>
    <t>Asmit</t>
  </si>
  <si>
    <t>CONCATENATE(D15,D16)</t>
  </si>
  <si>
    <t>glasses</t>
  </si>
  <si>
    <t>Back</t>
  </si>
  <si>
    <t>CONCATENATE(D$19," -",D$20)</t>
  </si>
  <si>
    <t>Stage</t>
  </si>
  <si>
    <t>Dead</t>
  </si>
  <si>
    <t>CONCATENATE(D22," - ",D23)</t>
  </si>
  <si>
    <t>line</t>
  </si>
  <si>
    <t>Clean</t>
  </si>
  <si>
    <t>CLEAN(D26)</t>
  </si>
  <si>
    <t>CLEAN(D28)</t>
  </si>
  <si>
    <t>CLEAN(D31)</t>
  </si>
  <si>
    <t>CLEAN(D33)</t>
  </si>
  <si>
    <t>Exact</t>
  </si>
  <si>
    <t>EXACT(F4,F10)</t>
  </si>
  <si>
    <t>EXACT(F5,F13)</t>
  </si>
  <si>
    <t>EXACT(F6,F16)</t>
  </si>
  <si>
    <t>EXACT(F7,F19)</t>
  </si>
  <si>
    <t>EXACT(F8,F22)</t>
  </si>
  <si>
    <t>Find</t>
  </si>
  <si>
    <t>Midschool</t>
  </si>
  <si>
    <t>FIND("d",D41,1)</t>
  </si>
  <si>
    <t>Happy Birthday</t>
  </si>
  <si>
    <t>FIND("B",D42,1)</t>
  </si>
  <si>
    <t>Uniform</t>
  </si>
  <si>
    <t>FIND("r",D43,1)</t>
  </si>
  <si>
    <t>Spreadsheets</t>
  </si>
  <si>
    <t>FIND("e",D44,1)</t>
  </si>
  <si>
    <t>Google-Sheet</t>
  </si>
  <si>
    <t>FIND("-",D45,1)</t>
  </si>
  <si>
    <t>LEFT(D47,3)</t>
  </si>
  <si>
    <t>LEFT(D48,5)</t>
  </si>
  <si>
    <t>LEFT(D49,5)</t>
  </si>
  <si>
    <t>LEFT(D50,9)</t>
  </si>
  <si>
    <t>LEFT(D51,11</t>
  </si>
  <si>
    <t>RIGHT(D53,6)</t>
  </si>
  <si>
    <t>RIGHT(D55,3)</t>
  </si>
  <si>
    <t>RIGHT(D56,8)</t>
  </si>
  <si>
    <t>RIGHT(D57,9)</t>
  </si>
  <si>
    <t>Mid</t>
  </si>
  <si>
    <t>MID(D59,3,5)</t>
  </si>
  <si>
    <t>MID(D60,5,2)</t>
  </si>
  <si>
    <t>MID(D61,3,5)</t>
  </si>
  <si>
    <t>MID(D62,5,4)</t>
  </si>
  <si>
    <t>MID(D63,5,3)</t>
  </si>
  <si>
    <t>Lower</t>
  </si>
  <si>
    <t>LOWER(D65)</t>
  </si>
  <si>
    <t>LOWER(D66)</t>
  </si>
  <si>
    <t>LOWER(D67)</t>
  </si>
  <si>
    <t>LOWER(D68)</t>
  </si>
  <si>
    <t>LOWER(D69)</t>
  </si>
  <si>
    <t>Upper</t>
  </si>
  <si>
    <t>UPPER(D71)</t>
  </si>
  <si>
    <t>UPPER(D72)</t>
  </si>
  <si>
    <t>UPPER(D73)</t>
  </si>
  <si>
    <t>UPPER(D74)</t>
  </si>
  <si>
    <t>UPPER(D75)</t>
  </si>
  <si>
    <t>Len</t>
  </si>
  <si>
    <t>LEN(D77)</t>
  </si>
  <si>
    <t>LEN(D78)</t>
  </si>
  <si>
    <t>LEN(D79)</t>
  </si>
  <si>
    <t>LEN(D80)</t>
  </si>
  <si>
    <t>LEN(D81)</t>
  </si>
  <si>
    <t>Proper</t>
  </si>
  <si>
    <t>MiDsChool</t>
  </si>
  <si>
    <t>PROPER(D83)</t>
  </si>
  <si>
    <t>haPpy BirtTdaY</t>
  </si>
  <si>
    <t>PROPER(D84)</t>
  </si>
  <si>
    <t>unifOrM</t>
  </si>
  <si>
    <t>PROPER(D85)</t>
  </si>
  <si>
    <t>spreaDsheets</t>
  </si>
  <si>
    <t>PROPER(D86)</t>
  </si>
  <si>
    <t>google-sheet</t>
  </si>
  <si>
    <t>PROPER(D87)</t>
  </si>
  <si>
    <t>Replace</t>
  </si>
  <si>
    <t>REPLACE(D89,1,5,"T")</t>
  </si>
  <si>
    <t>REPLACE(D90,1,5,"G1")</t>
  </si>
  <si>
    <t>REPLACE(D91,2,4,"87")</t>
  </si>
  <si>
    <t>REPLACE(D92,2,4,"XYZ")</t>
  </si>
  <si>
    <t>REPLACE(D93,7,8,"%")</t>
  </si>
  <si>
    <t>no.</t>
  </si>
  <si>
    <t>lucky</t>
  </si>
  <si>
    <t>CONCAT(D5,CHAR(5)," - ",D6)</t>
  </si>
  <si>
    <t>lucky _x0005_atharva</t>
  </si>
  <si>
    <t>atharva</t>
  </si>
  <si>
    <t>CONCAT(D8,CHAR(32),D9)</t>
  </si>
  <si>
    <t>atharva ninawe</t>
  </si>
  <si>
    <t>ninawe</t>
  </si>
  <si>
    <t>char 32 is space</t>
  </si>
  <si>
    <t>CONCAT(D11,CHAR(169),D12)</t>
  </si>
  <si>
    <t>atharva ©ninawe</t>
  </si>
  <si>
    <t>char 169 is copy right symbol</t>
  </si>
  <si>
    <t>CONCAT(CHAR(149),D14,CHAR(10)," - ",CHAR(149),D15)</t>
  </si>
  <si>
    <t>•atharva 
  - •ninawe</t>
  </si>
  <si>
    <t>char 149 is bullet symbol $ char 10 is for line break</t>
  </si>
  <si>
    <t>CONCAT(D17,CHAR(10),D18)</t>
  </si>
  <si>
    <t>atharva 
 ninawe</t>
  </si>
  <si>
    <t>char 10 is for line break</t>
  </si>
  <si>
    <t>ATHARVA</t>
  </si>
  <si>
    <t>CONCAT(D$20," - ",D$21)</t>
  </si>
  <si>
    <t>ATHARVA - NINAWE</t>
  </si>
  <si>
    <t>NINAWE</t>
  </si>
  <si>
    <t>multiple text strings, numbers, or cell values into one continuous string.</t>
  </si>
  <si>
    <t>1,00,000</t>
  </si>
  <si>
    <t>CONCAT(" TOTAL SALES: ",D23)</t>
  </si>
  <si>
    <t>TOTAL SALES: 100000</t>
  </si>
  <si>
    <t>Add Text with Cell Value</t>
  </si>
  <si>
    <t>CONCAT(D26," LIVES IN ",D27)</t>
  </si>
  <si>
    <t>ATHARVA LIVES IN NAGPUR</t>
  </si>
  <si>
    <t>NAGPUR</t>
  </si>
  <si>
    <t>Create a Sentence from Multiple Cells</t>
  </si>
  <si>
    <t>GUN</t>
  </si>
  <si>
    <t>CONCAT("Product: ",D29,CHAR(10),"Price: ",D30)</t>
  </si>
  <si>
    <t>Product: GUN
 Price: 100000</t>
  </si>
  <si>
    <t>Insert Line Breaks with CHAR(10)</t>
  </si>
  <si>
    <t>ASUS</t>
  </si>
  <si>
    <t>CONCAT(CHAR(169),D32)</t>
  </si>
  <si>
    <t>©ASUS</t>
  </si>
  <si>
    <t>Add Symbols with CHAR</t>
  </si>
  <si>
    <t>Laptop&amp;CHAR(10)&amp;"Pro"</t>
  </si>
  <si>
    <t>Laptop
 Pro</t>
  </si>
  <si>
    <t>CLEAN(D35)</t>
  </si>
  <si>
    <t>LaptopPro</t>
  </si>
  <si>
    <t>123&amp;CHAR(7)&amp;456</t>
  </si>
  <si>
    <t>123_x0007_456</t>
  </si>
  <si>
    <t>CLEAN(D37)</t>
  </si>
  <si>
    <t>UVW&amp;CHAR(7)&amp;"XYZ"</t>
  </si>
  <si>
    <t>UVW_x0007_XYZ</t>
  </si>
  <si>
    <t>CLEAN(D39)</t>
  </si>
  <si>
    <t>UVWXYZ</t>
  </si>
  <si>
    <t>123&amp;SUM(1,2,3)&amp;"456"</t>
  </si>
  <si>
    <t>CLEAN(D41)</t>
  </si>
  <si>
    <t>atharva&amp;CHAR(44)&amp;"ni"</t>
  </si>
  <si>
    <t>atharva,ni</t>
  </si>
  <si>
    <t>CLEAN(D43)</t>
  </si>
  <si>
    <t>EXACT(D45,D46)</t>
  </si>
  <si>
    <t>both condition is same</t>
  </si>
  <si>
    <t>EXACT(D48,D49)</t>
  </si>
  <si>
    <t>both condition is not same</t>
  </si>
  <si>
    <t>omg</t>
  </si>
  <si>
    <t>EXACT("OMG",D51)</t>
  </si>
  <si>
    <t>123©456</t>
  </si>
  <si>
    <t>EXACT(D53,D54)</t>
  </si>
  <si>
    <t>formula is same</t>
  </si>
  <si>
    <t>EXACT(D56,D57)</t>
  </si>
  <si>
    <t>123•456</t>
  </si>
  <si>
    <t>formula is not same</t>
  </si>
  <si>
    <t>ATHARVA NINAWE</t>
  </si>
  <si>
    <t>FIND("NINA",D59)</t>
  </si>
  <si>
    <t>FIND("nina",D61)</t>
  </si>
  <si>
    <t>FIND("a",D63)</t>
  </si>
  <si>
    <t>FIND("a",D65,3)</t>
  </si>
  <si>
    <t>GOOGLE.COM</t>
  </si>
  <si>
    <t>FIND(".",D67)</t>
  </si>
  <si>
    <t>LEFT(D69,4)</t>
  </si>
  <si>
    <t>ATHA</t>
  </si>
  <si>
    <t>ABCD1234</t>
  </si>
  <si>
    <t>LEFT(D71,4)</t>
  </si>
  <si>
    <t>ABCD</t>
  </si>
  <si>
    <t>ASUS-12344</t>
  </si>
  <si>
    <t>LEFT(D73,FIND("-",D73)-1)</t>
  </si>
  <si>
    <t>OMG-1TR</t>
  </si>
  <si>
    <t>LEFT(D75,FIND("-",D75 )-1)</t>
  </si>
  <si>
    <t>OMG</t>
  </si>
  <si>
    <t>LEFT(TEXT(D77,"dd-mm-yyyy"),2)</t>
  </si>
  <si>
    <t>RIGHT(D79,4)</t>
  </si>
  <si>
    <t>RVA</t>
  </si>
  <si>
    <t>RIGHT(D81,4)</t>
  </si>
  <si>
    <t>RIGHT(D83,FIND("-",D83)-1)</t>
  </si>
  <si>
    <t>RIGHT(D85,FIND("-",D85 )-1)</t>
  </si>
  <si>
    <t>1TR</t>
  </si>
  <si>
    <t>RIGHT(TEXT(D87,"dd-mm-yyyy"),3)</t>
  </si>
  <si>
    <t>ATHARVANINAWE</t>
  </si>
  <si>
    <t>MID(D89,2,6)</t>
  </si>
  <si>
    <t>THARVA</t>
  </si>
  <si>
    <t>AB12345XY</t>
  </si>
  <si>
    <t>MID(D91,3,5)</t>
  </si>
  <si>
    <t>MID(TEXT(D93,"DD-MM-YYYY"),1,3)</t>
  </si>
  <si>
    <t>04-</t>
  </si>
  <si>
    <r>
      <rPr>
        <u/>
        <sz val="11"/>
        <color rgb="FF1155CC"/>
        <rFont val="&quot;Aptos Narrow&quot;, sans-serif"/>
      </rPr>
      <t>ATHARV#GOLD.COM</t>
    </r>
  </si>
  <si>
    <t>MID(D95,7,9)</t>
  </si>
  <si>
    <t>#GOLD.COM</t>
  </si>
  <si>
    <t>MID FIND CLEAR</t>
  </si>
  <si>
    <t>MID(D97,4,9)</t>
  </si>
  <si>
    <t>FIND CLE</t>
  </si>
  <si>
    <t>LOWER(D99)</t>
  </si>
  <si>
    <r>
      <rPr>
        <u/>
        <sz val="11"/>
        <color rgb="FF1155CC"/>
        <rFont val="&quot;Aptos Narrow&quot;, sans-serif"/>
      </rPr>
      <t>AtharvaNINAWe@gmail.com</t>
    </r>
  </si>
  <si>
    <t>LOWER(D101)</t>
  </si>
  <si>
    <t>atharvaninawe@gmail.com</t>
  </si>
  <si>
    <t>athARvAniNAwE</t>
  </si>
  <si>
    <t>LOWER(D103)</t>
  </si>
  <si>
    <t>atharvaninawe</t>
  </si>
  <si>
    <t>ABC123XYZ</t>
  </si>
  <si>
    <t>LOWER(D105)</t>
  </si>
  <si>
    <t>abc123xyz</t>
  </si>
  <si>
    <t>HELLO world</t>
  </si>
  <si>
    <t>LOWER(D107)</t>
  </si>
  <si>
    <t>hello world</t>
  </si>
  <si>
    <t>UPPER(D109)</t>
  </si>
  <si>
    <r>
      <rPr>
        <u/>
        <sz val="11"/>
        <color rgb="FF1155CC"/>
        <rFont val="&quot;Aptos Narrow&quot;, sans-serif"/>
      </rPr>
      <t>AtharvaNINAWe@gmail.com</t>
    </r>
  </si>
  <si>
    <t>UPPER(D111)</t>
  </si>
  <si>
    <t>ATHARVANINAWE@GMAIL.COM</t>
  </si>
  <si>
    <t>UPPER(D113)</t>
  </si>
  <si>
    <t>UPPER(D115)</t>
  </si>
  <si>
    <t>UPPER(D117)</t>
  </si>
  <si>
    <t>HELLO WORLD</t>
  </si>
  <si>
    <t>LEN(D119)</t>
  </si>
  <si>
    <t>LEN(D121)</t>
  </si>
  <si>
    <t>LEN(D123)</t>
  </si>
  <si>
    <r>
      <rPr>
        <u/>
        <sz val="11"/>
        <color rgb="FF1155CC"/>
        <rFont val="&quot;Aptos Narrow&quot;, sans-serif"/>
      </rPr>
      <t>Atharvaninawe@gmail.com</t>
    </r>
  </si>
  <si>
    <t>LEN(D125)</t>
  </si>
  <si>
    <t># atharva #</t>
  </si>
  <si>
    <t>LEN(D127)</t>
  </si>
  <si>
    <t>REPLACE(D129,3,1,124)</t>
  </si>
  <si>
    <t>AT124ARVA</t>
  </si>
  <si>
    <t>indian culture</t>
  </si>
  <si>
    <t>REPLACE(D131,8,7,"army")</t>
  </si>
  <si>
    <t>indian army</t>
  </si>
  <si>
    <t>REPLACE(D133,1,6,"******")</t>
  </si>
  <si>
    <t>******0155</t>
  </si>
  <si>
    <t>REPLACE(TEXT(D135,"dd-mm-yyyy"),7,4,"2005")</t>
  </si>
  <si>
    <t>black clover</t>
  </si>
  <si>
    <t>REPLACE(D137,6,1,"")</t>
  </si>
  <si>
    <t>blackclover</t>
  </si>
  <si>
    <t>TRIM</t>
  </si>
  <si>
    <t>TRIM(D139)</t>
  </si>
  <si>
    <t>" EXCEL "</t>
  </si>
  <si>
    <t>TRIM(D141)</t>
  </si>
  <si>
    <t>Microsoft Excel Functions</t>
  </si>
  <si>
    <t>TRIM(D143)</t>
  </si>
  <si>
    <t>ATH A RVA NINA WE</t>
  </si>
  <si>
    <t>TRIM(D145)</t>
  </si>
  <si>
    <t>LEN(D147)</t>
  </si>
  <si>
    <t>LEN(TRIM(D147 ))</t>
  </si>
  <si>
    <t>DATE AND TIME</t>
  </si>
  <si>
    <t>DATE</t>
  </si>
  <si>
    <t>TODAY()</t>
  </si>
  <si>
    <t>DATE&amp;TIME</t>
  </si>
  <si>
    <t>NOW()</t>
  </si>
  <si>
    <t>YEAR</t>
  </si>
  <si>
    <t>YEAR(TODAY())</t>
  </si>
  <si>
    <t>MONTH</t>
  </si>
  <si>
    <t>MONTH(TODAY())</t>
  </si>
  <si>
    <t>DAY</t>
  </si>
  <si>
    <t>DAY(TODAY())</t>
  </si>
  <si>
    <t>VALUE(D159)</t>
  </si>
  <si>
    <t>VALUE(D161)</t>
  </si>
  <si>
    <t>VALUE(D163)</t>
  </si>
  <si>
    <t>VALUE(D165)+10</t>
  </si>
  <si>
    <t>VALUE(D167)</t>
  </si>
  <si>
    <t>ATHarvaNINawe</t>
  </si>
  <si>
    <t>PROPER(D169)</t>
  </si>
  <si>
    <t>Atharvaninawe</t>
  </si>
  <si>
    <t>MicroSOFt ExCEl FuncTION</t>
  </si>
  <si>
    <t>PROPER(D171)</t>
  </si>
  <si>
    <t>Microsoft Excel Function</t>
  </si>
  <si>
    <t>BlAcK ClOvEr</t>
  </si>
  <si>
    <t>PROPER(D173)</t>
  </si>
  <si>
    <t>Black Clover</t>
  </si>
  <si>
    <t>overloard</t>
  </si>
  <si>
    <t>PROPER(D175)</t>
  </si>
  <si>
    <t>Overloard</t>
  </si>
  <si>
    <t>muSHOku Teansei</t>
  </si>
  <si>
    <t>PROPER(D177)</t>
  </si>
  <si>
    <t>Mushoku Teansei</t>
  </si>
  <si>
    <t>Name</t>
  </si>
  <si>
    <t>Dhiraj</t>
  </si>
  <si>
    <t>Method No.</t>
  </si>
  <si>
    <t>Sr NO.</t>
  </si>
  <si>
    <t xml:space="preserve">Technology </t>
  </si>
  <si>
    <t xml:space="preserve">Dhiraj </t>
  </si>
  <si>
    <t>CONCAT(E$7,E$8)</t>
  </si>
  <si>
    <t>CONCAT(E$9,E$10)</t>
  </si>
  <si>
    <t>Sheet</t>
  </si>
  <si>
    <t>Best</t>
  </si>
  <si>
    <t>Room</t>
  </si>
  <si>
    <t>CONCAT(E$13,E$14)</t>
  </si>
  <si>
    <t>Partner</t>
  </si>
  <si>
    <t>CLEAN(E18)</t>
  </si>
  <si>
    <t>CLEAN(E19)</t>
  </si>
  <si>
    <t>CLEAN(E20)</t>
  </si>
  <si>
    <t xml:space="preserve">Exel </t>
  </si>
  <si>
    <t>EXACT(E23,E24)</t>
  </si>
  <si>
    <t>EXACT(E25,E26)</t>
  </si>
  <si>
    <t>workbook</t>
  </si>
  <si>
    <t>New</t>
  </si>
  <si>
    <t>EXACT(E27,E8)</t>
  </si>
  <si>
    <t>Textbook</t>
  </si>
  <si>
    <t xml:space="preserve">Google </t>
  </si>
  <si>
    <t>Files</t>
  </si>
  <si>
    <t>Random</t>
  </si>
  <si>
    <t xml:space="preserve">University </t>
  </si>
  <si>
    <t>FIND("n",C34,1)</t>
  </si>
  <si>
    <t>FIND("n",C35,1)</t>
  </si>
  <si>
    <t>FIND("n",C36,1)</t>
  </si>
  <si>
    <t>FIND("n",C37,1)</t>
  </si>
  <si>
    <t>FIND("n",C38,1)</t>
  </si>
  <si>
    <t>LEFT(C41,2)</t>
  </si>
  <si>
    <t>LEFT(C42,4)</t>
  </si>
  <si>
    <t>LEFT(C43,5)</t>
  </si>
  <si>
    <t>Industry</t>
  </si>
  <si>
    <t>LEFT(C44,1)</t>
  </si>
  <si>
    <t>Perfume</t>
  </si>
  <si>
    <t>LEFT(C45,2)</t>
  </si>
  <si>
    <t>RIGHT(C47,4)</t>
  </si>
  <si>
    <t>Google</t>
  </si>
  <si>
    <t>RIGHT(C48,3)</t>
  </si>
  <si>
    <t>RIGHT(C49,4)</t>
  </si>
  <si>
    <t>RIGHT(C50,)</t>
  </si>
  <si>
    <t>RIGHT(C51,2)</t>
  </si>
  <si>
    <t>MID(C54,1,3)</t>
  </si>
  <si>
    <t>DHIRAJ</t>
  </si>
  <si>
    <t>COLLEGE</t>
  </si>
  <si>
    <t>VISUAL</t>
  </si>
  <si>
    <t>FORMAT</t>
  </si>
  <si>
    <t>LOWER(E62)</t>
  </si>
  <si>
    <t>STATERGY</t>
  </si>
  <si>
    <t>dhiraj</t>
  </si>
  <si>
    <t>UPPER(C65)</t>
  </si>
  <si>
    <t>shubham</t>
  </si>
  <si>
    <t>UPPER(C66)</t>
  </si>
  <si>
    <t>arnav</t>
  </si>
  <si>
    <t>UPPER(C67)</t>
  </si>
  <si>
    <t>rohit</t>
  </si>
  <si>
    <t>UPPER(C68)</t>
  </si>
  <si>
    <t>akshay</t>
  </si>
  <si>
    <t>UPPER(C69)</t>
  </si>
  <si>
    <t>REPLACE(C71,1,3,"hm")</t>
  </si>
  <si>
    <t>REPLACE(C72,2,4,"oj")</t>
  </si>
  <si>
    <t>REPLACE(C73,2,3,"kl")</t>
  </si>
  <si>
    <t>REPLACE(C74,1,3,"hm")</t>
  </si>
  <si>
    <t>REPLACE(C75,1,4,"jkl")</t>
  </si>
  <si>
    <t>AbhIsHek</t>
  </si>
  <si>
    <t>PROPER(C77)</t>
  </si>
  <si>
    <t>COllegE</t>
  </si>
  <si>
    <t>PROPER(C78)</t>
  </si>
  <si>
    <t>LaPtOP</t>
  </si>
  <si>
    <t>PROPER(C79)</t>
  </si>
  <si>
    <t>uniCOrn</t>
  </si>
  <si>
    <t>PROPER(C80)</t>
  </si>
  <si>
    <t>TecHNoLogY</t>
  </si>
  <si>
    <t>PROPER(C81)</t>
  </si>
  <si>
    <t>Ishika bhisikar</t>
  </si>
  <si>
    <t xml:space="preserve">method </t>
  </si>
  <si>
    <t>formula</t>
  </si>
  <si>
    <t>output</t>
  </si>
  <si>
    <t>high</t>
  </si>
  <si>
    <t>CONCAT(F5,E5)</t>
  </si>
  <si>
    <t>drive</t>
  </si>
  <si>
    <t>long</t>
  </si>
  <si>
    <t>CONCAT(F6,E6)</t>
  </si>
  <si>
    <t>chat</t>
  </si>
  <si>
    <t>chit-</t>
  </si>
  <si>
    <t>CONCAT(F7,E7)</t>
  </si>
  <si>
    <t>ment</t>
  </si>
  <si>
    <t>argue</t>
  </si>
  <si>
    <t>CONCAT(F8,E8)</t>
  </si>
  <si>
    <t>cooling</t>
  </si>
  <si>
    <t>thermal-</t>
  </si>
  <si>
    <t>CONCAT(F9,E9)</t>
  </si>
  <si>
    <t>Television</t>
  </si>
  <si>
    <t>LEFT(E11,2)</t>
  </si>
  <si>
    <t>Gathering</t>
  </si>
  <si>
    <t>LEFT(E12,4)</t>
  </si>
  <si>
    <t>technology</t>
  </si>
  <si>
    <t>LEFT(E13,6)</t>
  </si>
  <si>
    <t>difference</t>
  </si>
  <si>
    <t>LEFT(E14,3)</t>
  </si>
  <si>
    <t>following</t>
  </si>
  <si>
    <t>LEFT(E15,5)</t>
  </si>
  <si>
    <t>RIGHT(E17,5)</t>
  </si>
  <si>
    <t>RIGHT(E18,2)</t>
  </si>
  <si>
    <t>RIGHT(E19,3)</t>
  </si>
  <si>
    <t>RIGHT(E20,6)</t>
  </si>
  <si>
    <t>RIGHT(E21,1)</t>
  </si>
  <si>
    <t>beginning</t>
  </si>
  <si>
    <t>LEN(E23)</t>
  </si>
  <si>
    <t>formulation</t>
  </si>
  <si>
    <t>LEN(E24)</t>
  </si>
  <si>
    <t>totally</t>
  </si>
  <si>
    <t>LEN(E25)</t>
  </si>
  <si>
    <t>individual</t>
  </si>
  <si>
    <t>LEN(E26)</t>
  </si>
  <si>
    <t>participate</t>
  </si>
  <si>
    <t>LEN(E27)</t>
  </si>
  <si>
    <t>FIND("m",E29)</t>
  </si>
  <si>
    <t>Lining</t>
  </si>
  <si>
    <t>FIND("g",E30)</t>
  </si>
  <si>
    <t>Condition</t>
  </si>
  <si>
    <t>FIND("d",E31)</t>
  </si>
  <si>
    <t>Circulation</t>
  </si>
  <si>
    <t>FIND("C",E32)</t>
  </si>
  <si>
    <t>Monitor</t>
  </si>
  <si>
    <t>FIND("i",E33)</t>
  </si>
  <si>
    <t>Ashish Bonde</t>
  </si>
  <si>
    <t>Hello   World</t>
  </si>
  <si>
    <t>Function</t>
  </si>
  <si>
    <t xml:space="preserve">Management         </t>
  </si>
  <si>
    <t>Ashish</t>
  </si>
  <si>
    <t>CONCAT(E20,E19)</t>
  </si>
  <si>
    <t>CONCAT(E22,E21)</t>
  </si>
  <si>
    <t xml:space="preserve">Business </t>
  </si>
  <si>
    <t>CONCAT(E23,E24)</t>
  </si>
  <si>
    <t xml:space="preserve">Bonde </t>
  </si>
  <si>
    <t>CONCAT(E25,E26)</t>
  </si>
  <si>
    <t>patil</t>
  </si>
  <si>
    <t>Photos</t>
  </si>
  <si>
    <t>CONCAT(E28,E27)</t>
  </si>
  <si>
    <t xml:space="preserve"> EXACT(E30,E31)</t>
  </si>
  <si>
    <t>Database</t>
  </si>
  <si>
    <t>EXACT(E32,E33)</t>
  </si>
  <si>
    <t>System</t>
  </si>
  <si>
    <t>EXACT(E34,E35)</t>
  </si>
  <si>
    <t>EXACT(E38,E39)</t>
  </si>
  <si>
    <t>Ashish-ARC</t>
  </si>
  <si>
    <t>FIND("A",E41)</t>
  </si>
  <si>
    <t>Hellow-World</t>
  </si>
  <si>
    <t>FIND("W",E42)</t>
  </si>
  <si>
    <t>Information-tech</t>
  </si>
  <si>
    <t>FIND("m",E43)</t>
  </si>
  <si>
    <t>Ashish-Bonde</t>
  </si>
  <si>
    <t>FIND("B",E44)</t>
  </si>
  <si>
    <t>Excel-Data</t>
  </si>
  <si>
    <t>FIND("c",E45)</t>
  </si>
  <si>
    <t>Ashish-data</t>
  </si>
  <si>
    <t>LEFT(E47,"5")</t>
  </si>
  <si>
    <t>Manage-Storage</t>
  </si>
  <si>
    <t>LEFT(E48,"10")</t>
  </si>
  <si>
    <t>Problem-Statement</t>
  </si>
  <si>
    <t>LEFT(E49,"3")</t>
  </si>
  <si>
    <t>Format-Data</t>
  </si>
  <si>
    <t>LEFT(E50,"7")</t>
  </si>
  <si>
    <t>Clean-Function</t>
  </si>
  <si>
    <t>LEFT(E51,"12")</t>
  </si>
  <si>
    <t>Hello World</t>
  </si>
  <si>
    <t>Google Photos</t>
  </si>
  <si>
    <t>Chat Gpt</t>
  </si>
  <si>
    <t>Gemini AI</t>
  </si>
  <si>
    <t>FUNCTION</t>
  </si>
  <si>
    <t>DATABASE</t>
  </si>
  <si>
    <t>FUNCTIONS</t>
  </si>
  <si>
    <t>ASHISH</t>
  </si>
  <si>
    <t>BONDE PATIL</t>
  </si>
  <si>
    <t>Storage</t>
  </si>
  <si>
    <t>UPPER(E65)</t>
  </si>
  <si>
    <t>UPPER(E66)</t>
  </si>
  <si>
    <t>Telegram</t>
  </si>
  <si>
    <t>UPPER(E67)</t>
  </si>
  <si>
    <t>Microsoft</t>
  </si>
  <si>
    <t>UPPER(E68)</t>
  </si>
  <si>
    <t>Instagram</t>
  </si>
  <si>
    <t>Google Storage</t>
  </si>
  <si>
    <t>REPLACE(E71,3,4,"Data")</t>
  </si>
  <si>
    <t>REPLACE(E72,5,1,"Charge")</t>
  </si>
  <si>
    <t>Microsoft Edge</t>
  </si>
  <si>
    <t>REPLACE(E73,10,4,"port")</t>
  </si>
  <si>
    <t>REPLACE(E74,7,6,"Patill")</t>
  </si>
  <si>
    <t>REPLACE(E75,5,1,"data")</t>
  </si>
  <si>
    <t>MID(E77,3,7)</t>
  </si>
  <si>
    <t>Management</t>
  </si>
  <si>
    <t>MID(E79,1,4)</t>
  </si>
  <si>
    <t>Drive</t>
  </si>
  <si>
    <t>MID(E80,2,5)</t>
  </si>
  <si>
    <t xml:space="preserve">Storage </t>
  </si>
  <si>
    <t>MID(E81,4,6)</t>
  </si>
  <si>
    <t>Bonde Patil</t>
  </si>
  <si>
    <t>RIGHT(E83,6)</t>
  </si>
  <si>
    <t>Literature Review</t>
  </si>
  <si>
    <t>RIGHT(E84,12)</t>
  </si>
  <si>
    <t>Corporate</t>
  </si>
  <si>
    <t>RIGHT(E85,7)</t>
  </si>
  <si>
    <t>RIGHT(E86,4)</t>
  </si>
  <si>
    <t>Youtube</t>
  </si>
  <si>
    <t>RIGHT(E87,4)</t>
  </si>
  <si>
    <t>SEARCH</t>
  </si>
  <si>
    <t>SEARCH("n",E89)</t>
  </si>
  <si>
    <t>Banana</t>
  </si>
  <si>
    <t>SEARCH("a",E90)</t>
  </si>
  <si>
    <t>Coconut</t>
  </si>
  <si>
    <t>SEARCH("C",E91)</t>
  </si>
  <si>
    <t>Anaconda</t>
  </si>
  <si>
    <t>SEARCH("d",E92)</t>
  </si>
  <si>
    <t>SEARCH("r",E93)</t>
  </si>
  <si>
    <t>SUBSTITUTE</t>
  </si>
  <si>
    <t>I like Tea</t>
  </si>
  <si>
    <t>SUBSTITUTE(E95,"Tea","Coffie")</t>
  </si>
  <si>
    <t>SUBSTITUTE(E96,"Bonde","Patil")</t>
  </si>
  <si>
    <t>Business Analyst</t>
  </si>
  <si>
    <t>SUBSTITUTE(E97,"Business","Data")</t>
  </si>
  <si>
    <t>Data Management</t>
  </si>
  <si>
    <t>SUBSTITUTE(E98,"Management","Base")</t>
  </si>
  <si>
    <t>Orange City</t>
  </si>
  <si>
    <t>SUBSTITUTE(E99,"Orange","Nagpur")</t>
  </si>
  <si>
    <t>ANIKET MANVATE</t>
  </si>
  <si>
    <t>Sr. No.</t>
  </si>
  <si>
    <t xml:space="preserve">FIND </t>
  </si>
  <si>
    <t>ARC-ANIKET</t>
  </si>
  <si>
    <t>FIND("N",E7,4)</t>
  </si>
  <si>
    <t>DEVELOP ON TOP</t>
  </si>
  <si>
    <t>FIND("L",E8,2)</t>
  </si>
  <si>
    <t>INDIA-11</t>
  </si>
  <si>
    <t>SHWET DOMDE</t>
  </si>
  <si>
    <t>Method Name</t>
  </si>
  <si>
    <t>Example</t>
  </si>
  <si>
    <t>Trim</t>
  </si>
  <si>
    <t>TRIM($E7)</t>
  </si>
  <si>
    <t>TRIM($E8)</t>
  </si>
  <si>
    <t xml:space="preserve">  Shwet</t>
  </si>
  <si>
    <t>Shwet</t>
  </si>
  <si>
    <t>TRIM($E9)</t>
  </si>
  <si>
    <t>Data   Analyst</t>
  </si>
  <si>
    <t>Data Analyst</t>
  </si>
  <si>
    <t>TRIM($E10)</t>
  </si>
  <si>
    <t>TRIM($E11)</t>
  </si>
  <si>
    <t xml:space="preserve">  Shwet Domde</t>
  </si>
  <si>
    <t>Shwet Domde</t>
  </si>
  <si>
    <t>PROPER($E13)</t>
  </si>
  <si>
    <t>PROPER($E14)</t>
  </si>
  <si>
    <t>PROPER($E15)</t>
  </si>
  <si>
    <t>shwet domde</t>
  </si>
  <si>
    <t>PROPER($E16)</t>
  </si>
  <si>
    <t>nagpur city</t>
  </si>
  <si>
    <t>Nagpur City</t>
  </si>
  <si>
    <t>PROPER($E17)</t>
  </si>
  <si>
    <t>machine learning</t>
  </si>
  <si>
    <t>Machine Learning</t>
  </si>
  <si>
    <t>Old Text</t>
  </si>
  <si>
    <t>New Text</t>
  </si>
  <si>
    <t>SUBSTITUTE(E19,$H$19,$I19,1)</t>
  </si>
  <si>
    <t>Apple juice</t>
  </si>
  <si>
    <t>Orange juice</t>
  </si>
  <si>
    <t>SUBSTITUTE(E20,$H$19,$I20,1)</t>
  </si>
  <si>
    <t>Banana juice</t>
  </si>
  <si>
    <t>SUBSTITUTE(E21,$H$19,$I21,1)</t>
  </si>
  <si>
    <t>strawberry juice</t>
  </si>
  <si>
    <t>SUBSTITUTE(E22,$H$19,$I22,1)</t>
  </si>
  <si>
    <t>grapes juice</t>
  </si>
  <si>
    <t>grapes</t>
  </si>
  <si>
    <t>SUBSTITUTE(E23,$H$19,$I23,1)</t>
  </si>
  <si>
    <t>mango juice</t>
  </si>
  <si>
    <t>REPT</t>
  </si>
  <si>
    <t>REPT($E25,3)</t>
  </si>
  <si>
    <t>Hi</t>
  </si>
  <si>
    <t>HiHiHi</t>
  </si>
  <si>
    <t>REPT($E26,3)</t>
  </si>
  <si>
    <t>*</t>
  </si>
  <si>
    <t>***</t>
  </si>
  <si>
    <t>REPT($E27,3)</t>
  </si>
  <si>
    <t>Excel Excel Excel</t>
  </si>
  <si>
    <t>REPT($28,3)</t>
  </si>
  <si>
    <t>AAA</t>
  </si>
  <si>
    <t>REPT($29,3)</t>
  </si>
  <si>
    <t>Go</t>
  </si>
  <si>
    <t>GoGoGo</t>
  </si>
  <si>
    <t>TEXTJOIN</t>
  </si>
  <si>
    <t>TEXTJOIN(",",TRUE,$E31,$E32)</t>
  </si>
  <si>
    <t>shwet</t>
  </si>
  <si>
    <t>shwet,excel</t>
  </si>
  <si>
    <t>TEXTJOIN("-",TRUE,$E33,$E34)</t>
  </si>
  <si>
    <t>TEXTJOIN(" ",TRUE,$E35,$E36)</t>
  </si>
  <si>
    <t>TEXTJOIN(",",TRUE,$E37,$E38)</t>
  </si>
  <si>
    <t>A,B</t>
  </si>
  <si>
    <t>TEXTJOIN("/",TRUE,$E39,$E40)</t>
  </si>
  <si>
    <t>CHAR($E42)</t>
  </si>
  <si>
    <t>CHAR($E43)</t>
  </si>
  <si>
    <t>CHAR($E44)</t>
  </si>
  <si>
    <t>a</t>
  </si>
  <si>
    <t>CHAR($E45)</t>
  </si>
  <si>
    <t>CHAR($E46)</t>
  </si>
  <si>
    <t>!</t>
  </si>
  <si>
    <t>DOLLAR</t>
  </si>
  <si>
    <t>DOLLAR($E48)</t>
  </si>
  <si>
    <t>₹ 200.00</t>
  </si>
  <si>
    <t>DOLLAR($E49)</t>
  </si>
  <si>
    <t>₹ 30.00</t>
  </si>
  <si>
    <t>DOLLAR($E50)</t>
  </si>
  <si>
    <t>₹ 400.00</t>
  </si>
  <si>
    <t>DOLLAR($E51)</t>
  </si>
  <si>
    <t>₹ 2,000.00</t>
  </si>
  <si>
    <t>DOLLAR($E52)</t>
  </si>
  <si>
    <t>₹ 1,000.00</t>
  </si>
  <si>
    <t>FIXED</t>
  </si>
  <si>
    <t>FIXED($E54,2)</t>
  </si>
  <si>
    <t>FIXED($E55,1)</t>
  </si>
  <si>
    <t>FIXED($E56,0)</t>
  </si>
  <si>
    <t>FIXED($E57,2)</t>
  </si>
  <si>
    <t>FIXED($E58,2)</t>
  </si>
  <si>
    <t>TEXT BEFORE</t>
  </si>
  <si>
    <t>TEXTBEFORE($E60,"-")</t>
  </si>
  <si>
    <t>shwet-Arc</t>
  </si>
  <si>
    <t>TEXTBEFORE(E61,",")</t>
  </si>
  <si>
    <t>apple,mango</t>
  </si>
  <si>
    <t>TEXTBEFORE(E62," ")</t>
  </si>
  <si>
    <t>helllo world</t>
  </si>
  <si>
    <t>helllo</t>
  </si>
  <si>
    <t>TEXTBEFORE($E63,"-")</t>
  </si>
  <si>
    <t>Data-Science</t>
  </si>
  <si>
    <t>TEXTBEFORE($E64,"-")</t>
  </si>
  <si>
    <t>Business-Analyst</t>
  </si>
  <si>
    <t>UNICHAR</t>
  </si>
  <si>
    <t>UNICHAR($E66)</t>
  </si>
  <si>
    <t>☃</t>
  </si>
  <si>
    <t>UNICHAR($E67)</t>
  </si>
  <si>
    <t>★</t>
  </si>
  <si>
    <t>UNICHAR($E68)</t>
  </si>
  <si>
    <t>☇</t>
  </si>
  <si>
    <t>UNICHAR($E69)</t>
  </si>
  <si>
    <t>♒</t>
  </si>
  <si>
    <t>UNICHAR($E70)</t>
  </si>
  <si>
    <t>♪</t>
  </si>
  <si>
    <t>UNICHAR($E71)</t>
  </si>
  <si>
    <t>♴</t>
  </si>
  <si>
    <t>DIVYANI</t>
  </si>
  <si>
    <t>NO</t>
  </si>
  <si>
    <t>City</t>
  </si>
  <si>
    <t>SEMI</t>
  </si>
  <si>
    <t>CONCAT(D7,D8)</t>
  </si>
  <si>
    <t>FINAL</t>
  </si>
  <si>
    <t>A1</t>
  </si>
  <si>
    <t>CONCAT(D9,D10)</t>
  </si>
  <si>
    <t>B2</t>
  </si>
  <si>
    <t xml:space="preserve">Newyork </t>
  </si>
  <si>
    <t>HELLO</t>
  </si>
  <si>
    <t>name</t>
  </si>
  <si>
    <t>CONCAT(D13,D14)</t>
  </si>
  <si>
    <t>address</t>
  </si>
  <si>
    <t>password</t>
  </si>
  <si>
    <t>LEN(text)</t>
  </si>
  <si>
    <t>LEN(emptytext)</t>
  </si>
  <si>
    <t>a b c</t>
  </si>
  <si>
    <t>LEN(a b c)</t>
  </si>
  <si>
    <t>div@gmail.com</t>
  </si>
  <si>
    <t>len(D19)</t>
  </si>
  <si>
    <t>arc2026</t>
  </si>
  <si>
    <t>len(D20)</t>
  </si>
  <si>
    <t>UPPER(D22)</t>
  </si>
  <si>
    <t>arc1@gmail.com</t>
  </si>
  <si>
    <t>UPPER(D23)</t>
  </si>
  <si>
    <t>state code:ca</t>
  </si>
  <si>
    <t>UPPER(D24)</t>
  </si>
  <si>
    <t>UPPER(D25)</t>
  </si>
  <si>
    <t>UPPER(D26)</t>
  </si>
  <si>
    <t>LOWER(D28)</t>
  </si>
  <si>
    <t>NEWTASK</t>
  </si>
  <si>
    <t>LOWER(D29)</t>
  </si>
  <si>
    <t>iD</t>
  </si>
  <si>
    <t>LOWER(D30)</t>
  </si>
  <si>
    <t>ABC</t>
  </si>
  <si>
    <t>LOWER(D31)</t>
  </si>
  <si>
    <t>ARCtech</t>
  </si>
  <si>
    <t>LOWER(D32)</t>
  </si>
  <si>
    <t>img,JPG</t>
  </si>
  <si>
    <t>LEFT(D34)</t>
  </si>
  <si>
    <t>LEFT(D35)</t>
  </si>
  <si>
    <t>LEFT(D36)</t>
  </si>
  <si>
    <t>img</t>
  </si>
  <si>
    <t>LEFT(D38,D39)</t>
  </si>
  <si>
    <t>img,JPG,1</t>
  </si>
  <si>
    <t>RIGHT(D42)</t>
  </si>
  <si>
    <t>orangecity</t>
  </si>
  <si>
    <t>RIGHT(D43,D44)</t>
  </si>
  <si>
    <t>csv6</t>
  </si>
  <si>
    <t>RIGHT(D45)</t>
  </si>
  <si>
    <t>blank-table</t>
  </si>
  <si>
    <t>RIGHT(D47,D48)</t>
  </si>
  <si>
    <t>Apple-fruit,5</t>
  </si>
  <si>
    <t>RIGHT(D49)</t>
  </si>
  <si>
    <t xml:space="preserve"> School</t>
  </si>
  <si>
    <t>CLEAN(D51)</t>
  </si>
  <si>
    <t>pen</t>
  </si>
  <si>
    <t>google</t>
  </si>
  <si>
    <t>worksheet</t>
  </si>
  <si>
    <t>hello</t>
  </si>
  <si>
    <t>middleeast</t>
  </si>
  <si>
    <t>MID(D57,3,4)</t>
  </si>
  <si>
    <t>MID(D60,D61,D62</t>
  </si>
  <si>
    <t>gmail</t>
  </si>
  <si>
    <t>MID(D63,D64,D65)</t>
  </si>
  <si>
    <t>projecttask</t>
  </si>
  <si>
    <t>MID(D66,D67,D68)</t>
  </si>
  <si>
    <t>work book sheet</t>
  </si>
  <si>
    <t>MID(D69,D70,D71)</t>
  </si>
  <si>
    <t>content tracker</t>
  </si>
  <si>
    <t>FIND("r",D72,2)</t>
  </si>
  <si>
    <t>FIND("w",D74,1)</t>
  </si>
  <si>
    <t>task</t>
  </si>
  <si>
    <t>FIND("a",D76,2)</t>
  </si>
  <si>
    <t>FIND("t",D77,1)</t>
  </si>
  <si>
    <t>FIND("k",D78)</t>
  </si>
  <si>
    <t>TRIM(D80)</t>
  </si>
  <si>
    <t xml:space="preserve">   gudi-padwa</t>
  </si>
  <si>
    <t>TRIM(D81)</t>
  </si>
  <si>
    <t>new    year</t>
  </si>
  <si>
    <t>TRIM(D82)</t>
  </si>
  <si>
    <t>data     analyst</t>
  </si>
  <si>
    <t>TRIM(D83)</t>
  </si>
  <si>
    <t>TRIM(D84)</t>
  </si>
  <si>
    <t>tcs</t>
  </si>
  <si>
    <t>EXACT(D86,D87)</t>
  </si>
  <si>
    <t>KIA</t>
  </si>
  <si>
    <t>EXACT(D88,D89)</t>
  </si>
  <si>
    <t>Innova</t>
  </si>
  <si>
    <t>EXACT(D90,D91)</t>
  </si>
  <si>
    <t>innovA</t>
  </si>
  <si>
    <t>EXACT(D92,D93)</t>
  </si>
  <si>
    <t>fisH</t>
  </si>
  <si>
    <t>EXACT(D94,D95)</t>
  </si>
  <si>
    <t>sr no</t>
  </si>
  <si>
    <t>Concat</t>
  </si>
  <si>
    <t>virat</t>
  </si>
  <si>
    <t>Run</t>
  </si>
  <si>
    <t>Rohit</t>
  </si>
  <si>
    <t>CONCAT(F8,F9)</t>
  </si>
  <si>
    <t>Hitman</t>
  </si>
  <si>
    <t>hardik</t>
  </si>
  <si>
    <t>CONCAT(F10,F11</t>
  </si>
  <si>
    <t>cluch</t>
  </si>
  <si>
    <t>abhishek</t>
  </si>
  <si>
    <t>sharma</t>
  </si>
  <si>
    <t>CONCAT(F12,G12)</t>
  </si>
  <si>
    <t>hard</t>
  </si>
  <si>
    <t>sanju</t>
  </si>
  <si>
    <t>CONCAT(F13,G13)</t>
  </si>
  <si>
    <t>Sheet 1</t>
  </si>
  <si>
    <t>Sheet 2</t>
  </si>
  <si>
    <t>Sheet 3</t>
  </si>
  <si>
    <t>CLEAN(F17)</t>
  </si>
  <si>
    <t>Sheet 4</t>
  </si>
  <si>
    <t>CLEAN(F18)</t>
  </si>
  <si>
    <t>Sheet 5</t>
  </si>
  <si>
    <t>CLEAN(F19)</t>
  </si>
  <si>
    <t>player 18</t>
  </si>
  <si>
    <t>player 2</t>
  </si>
  <si>
    <t>EXACT(F21,G21</t>
  </si>
  <si>
    <t>player 33</t>
  </si>
  <si>
    <t>EXACT(F23,G23)</t>
  </si>
  <si>
    <t>player 45</t>
  </si>
  <si>
    <t>EXACT(F24,G24)</t>
  </si>
  <si>
    <t>player 1</t>
  </si>
  <si>
    <t>FIND("a",F27)</t>
  </si>
  <si>
    <t>chennai</t>
  </si>
  <si>
    <t>FIND("n",F28,5)</t>
  </si>
  <si>
    <t xml:space="preserve">Bangalore </t>
  </si>
  <si>
    <t>FIND("l",F29,3)</t>
  </si>
  <si>
    <t xml:space="preserve">Kolkata </t>
  </si>
  <si>
    <t>FIND("a",F31,6)</t>
  </si>
  <si>
    <t>LEFT(F33,6)</t>
  </si>
  <si>
    <t>LEFT(F34,5)</t>
  </si>
  <si>
    <t>Chennai Super Kings</t>
  </si>
  <si>
    <t>LEFT(F35,6)</t>
  </si>
  <si>
    <t>Sunrisers Hyderabad</t>
  </si>
  <si>
    <t>LEFT(F36,9)</t>
  </si>
  <si>
    <t>Rajasthan Royals</t>
  </si>
  <si>
    <t>LEFT(F37,5)</t>
  </si>
  <si>
    <t>RIGHT(F39,5)</t>
  </si>
  <si>
    <t>RIGHT(F40,5)</t>
  </si>
  <si>
    <t>RIGHT(F41,5)</t>
  </si>
  <si>
    <t>RIGHT(F42,5)</t>
  </si>
  <si>
    <t>RIGHT(F43,5)</t>
  </si>
  <si>
    <t>lower</t>
  </si>
  <si>
    <t>LOWER(F51)</t>
  </si>
  <si>
    <t>upper</t>
  </si>
  <si>
    <t>UPPER(F57)</t>
  </si>
  <si>
    <t>len</t>
  </si>
  <si>
    <t>LEN(F63)</t>
  </si>
  <si>
    <t>mid</t>
  </si>
  <si>
    <t>MID(F69,8,3)</t>
  </si>
  <si>
    <t>REPLACE(F75,8,7,"wankade")</t>
  </si>
  <si>
    <t>REPLACE(F76,7,11,"virat")</t>
  </si>
  <si>
    <t>REPLACE(F77,9,5,"MS")</t>
  </si>
  <si>
    <t>REPLACE(F78,11,9,"kings")</t>
  </si>
  <si>
    <t>REPLACE(F79,1,10,"jos")</t>
  </si>
  <si>
    <t>Sr no.</t>
  </si>
  <si>
    <t xml:space="preserve">Microstip </t>
  </si>
  <si>
    <t>Antenna</t>
  </si>
  <si>
    <t>Electronics</t>
  </si>
  <si>
    <t>Telecomm</t>
  </si>
  <si>
    <t>Nike</t>
  </si>
  <si>
    <t>Shoes</t>
  </si>
  <si>
    <t>Inception</t>
  </si>
  <si>
    <t>degrees</t>
  </si>
  <si>
    <t>CLEAN(E11)</t>
  </si>
  <si>
    <t>Password123</t>
  </si>
  <si>
    <t>password123</t>
  </si>
  <si>
    <t>EXACT(C17,D17)</t>
  </si>
  <si>
    <t>Blue Sky</t>
  </si>
  <si>
    <t>EXACT(C18,D18)</t>
  </si>
  <si>
    <t>EXACT(C19,D19)</t>
  </si>
  <si>
    <t>EXACT(C20,D20)</t>
  </si>
  <si>
    <t>Coffee</t>
  </si>
  <si>
    <t>EXACT(C21,D21)</t>
  </si>
  <si>
    <t>FIND("r",E23)</t>
  </si>
  <si>
    <t>Firefighter</t>
  </si>
  <si>
    <t>FIND("fight",E24)</t>
  </si>
  <si>
    <t>MacBook Pro</t>
  </si>
  <si>
    <t>FIND("P",E25)</t>
  </si>
  <si>
    <t>Golden Gate</t>
  </si>
  <si>
    <t>FIND("e",E26)</t>
  </si>
  <si>
    <t>1024-ABC</t>
  </si>
  <si>
    <t>FIND("-",E27)</t>
  </si>
  <si>
    <t>Basketball</t>
  </si>
  <si>
    <t>LEFT(E29,6)</t>
  </si>
  <si>
    <t>Sunlight</t>
  </si>
  <si>
    <t>LEFT(E30,6)</t>
  </si>
  <si>
    <t>2026-Project</t>
  </si>
  <si>
    <t>LEFT(E31,4)</t>
  </si>
  <si>
    <t>LEFT(E32,6)</t>
  </si>
  <si>
    <t>LEFT(E33,1)</t>
  </si>
  <si>
    <t>RIGHT(E35,5)</t>
  </si>
  <si>
    <t>RIGHT(E36,7)</t>
  </si>
  <si>
    <t>Report-2026</t>
  </si>
  <si>
    <t>RIGHT(E37,4)</t>
  </si>
  <si>
    <t>Coffee Cup</t>
  </si>
  <si>
    <t>RIGHT(E38,3)</t>
  </si>
  <si>
    <t>Product_ID_99</t>
  </si>
  <si>
    <t>RIGHT(E39,2)</t>
  </si>
  <si>
    <t>MID(E41,3,3)</t>
  </si>
  <si>
    <t>MID(E42,1,5)</t>
  </si>
  <si>
    <t>ID-9988-XY</t>
  </si>
  <si>
    <t>MID(E43,4,2)</t>
  </si>
  <si>
    <t>Amazing Day</t>
  </si>
  <si>
    <t>MID(E44,4,4)</t>
  </si>
  <si>
    <t>MID(E45,3,3)</t>
  </si>
  <si>
    <t>Sky</t>
  </si>
  <si>
    <t>Blueberry</t>
  </si>
  <si>
    <t>Pizza Party</t>
  </si>
  <si>
    <t>ID-456</t>
  </si>
  <si>
    <t>LEN(E50)</t>
  </si>
  <si>
    <t>123 456</t>
  </si>
  <si>
    <t>REPLACE(E53,1,6,"Soft")</t>
  </si>
  <si>
    <t>Pizza-2024</t>
  </si>
  <si>
    <t>REPLACE(E54,7,4,"2026")</t>
  </si>
  <si>
    <t>Model-A</t>
  </si>
  <si>
    <t>REPLACE(E55,7,1,"V")</t>
  </si>
  <si>
    <t>Sun Day</t>
  </si>
  <si>
    <t>REPLACE(E56,1,3,"Rainy")</t>
  </si>
  <si>
    <t>ID-001</t>
  </si>
  <si>
    <t>REPLACE(E57,4,3,"029")</t>
  </si>
  <si>
    <t>Ayush_Mendhe_DA30</t>
  </si>
  <si>
    <r>
      <rPr>
        <u/>
        <sz val="10"/>
        <color rgb="FF1155CC"/>
        <rFont val="Arial"/>
      </rPr>
      <t>Sr.No</t>
    </r>
    <r>
      <rPr>
        <sz val="10"/>
        <color rgb="FF000000"/>
        <rFont val="Arial"/>
        <scheme val="minor"/>
      </rPr>
      <t>.</t>
    </r>
  </si>
  <si>
    <t>Values</t>
  </si>
  <si>
    <t>Ayush</t>
  </si>
  <si>
    <t>Mendhe</t>
  </si>
  <si>
    <t>CONCAT(H15,H19)</t>
  </si>
  <si>
    <t>JOIN("-",H16,H17,H18)</t>
  </si>
  <si>
    <t>JOIN("_",H15,H19,H18)</t>
  </si>
  <si>
    <t>DA30</t>
  </si>
  <si>
    <t>JOIN("",H15,H19,H17)</t>
  </si>
  <si>
    <t>XYZ</t>
  </si>
  <si>
    <t>JOIN(" ",H15,H16,H18)</t>
  </si>
  <si>
    <t>TEXTJOIN("-",,H21,H25,H24)</t>
  </si>
  <si>
    <t>TEXTJOIN("_",0,H22,H23,H24)</t>
  </si>
  <si>
    <t>TEXTJOIN(" ",1,H22,H21,H23)</t>
  </si>
  <si>
    <t>TEXTJOIN("-",0,H22,H23,H21,H24)</t>
  </si>
  <si>
    <t>TEXTJOIN("_",0,H22,H23,H21,H24)</t>
  </si>
  <si>
    <t xml:space="preserve">ayush </t>
  </si>
  <si>
    <t>SANSKRUTI A. DHOLE</t>
  </si>
  <si>
    <t>DIFFERENT TYPES OF EXCEL TEXT FUNCTIONS</t>
  </si>
  <si>
    <t>1. UPPER</t>
  </si>
  <si>
    <t>Defination :- Converts all text into uppercase letters.</t>
  </si>
  <si>
    <t>Syntax :- =UPPER(text)</t>
  </si>
  <si>
    <t>S.No</t>
  </si>
  <si>
    <t>Formula------&gt;Output</t>
  </si>
  <si>
    <t>delhi</t>
  </si>
  <si>
    <t>DELHI</t>
  </si>
  <si>
    <t>PUNE</t>
  </si>
  <si>
    <t>MUMBAI</t>
  </si>
  <si>
    <t>hyderabad</t>
  </si>
  <si>
    <t>HYDERABAD</t>
  </si>
  <si>
    <t>2. LOWER</t>
  </si>
  <si>
    <t>Defination :- Converts text into lowercase letters.</t>
  </si>
  <si>
    <t>Syntax :-</t>
  </si>
  <si>
    <t>APPLE</t>
  </si>
  <si>
    <t>BANANA</t>
  </si>
  <si>
    <t>banana</t>
  </si>
  <si>
    <t>orange</t>
  </si>
  <si>
    <t>GRAPES</t>
  </si>
  <si>
    <t>3. PROPER</t>
  </si>
  <si>
    <t>Defination :- Capitalizes the first letter of each word.</t>
  </si>
  <si>
    <t>Syntax :- =PROPER(text)</t>
  </si>
  <si>
    <t>excel trainer</t>
  </si>
  <si>
    <t>Excel Trainer</t>
  </si>
  <si>
    <t>INDIAN COUNTRY</t>
  </si>
  <si>
    <t>Indian Country</t>
  </si>
  <si>
    <t>computer science</t>
  </si>
  <si>
    <t>Computer Science</t>
  </si>
  <si>
    <t>DATA ANALYST</t>
  </si>
  <si>
    <t>4.CHAR</t>
  </si>
  <si>
    <t>Defination :-Returns a character based on ASCII code.</t>
  </si>
  <si>
    <t>Syntax :-=CHAR(number)</t>
  </si>
  <si>
    <t>r</t>
  </si>
  <si>
    <t>y</t>
  </si>
  <si>
    <t>n</t>
  </si>
  <si>
    <t>5. LEN</t>
  </si>
  <si>
    <t>Defination :- Counts the number of characters in text.</t>
  </si>
  <si>
    <t>Syntax =LEN(text)</t>
  </si>
  <si>
    <t>BAT</t>
  </si>
  <si>
    <t>CHARACTERS</t>
  </si>
  <si>
    <t>AASTHA</t>
  </si>
  <si>
    <t>6. LEFT</t>
  </si>
  <si>
    <t>Defination :- Extracts characters from the left side.</t>
  </si>
  <si>
    <t>Syntax :- =LEFT(text,num_chars)</t>
  </si>
  <si>
    <t>MICROSOFT</t>
  </si>
  <si>
    <t>MICRO</t>
  </si>
  <si>
    <t>EXTEACTS</t>
  </si>
  <si>
    <t>EXTE</t>
  </si>
  <si>
    <t>FROM</t>
  </si>
  <si>
    <t>FRO</t>
  </si>
  <si>
    <t>LE</t>
  </si>
  <si>
    <t>SIDE</t>
  </si>
  <si>
    <t>S</t>
  </si>
  <si>
    <t>7. RIGHT</t>
  </si>
  <si>
    <t>Defination :- Extracts characters from the right side.</t>
  </si>
  <si>
    <t>Syntax :- =RIGHT(text,num_chars)</t>
  </si>
  <si>
    <t>IGHT</t>
  </si>
  <si>
    <t>FT</t>
  </si>
  <si>
    <t>DOWN</t>
  </si>
  <si>
    <t>OWN</t>
  </si>
  <si>
    <t>R</t>
  </si>
  <si>
    <t>TRAINER</t>
  </si>
  <si>
    <t>INER</t>
  </si>
  <si>
    <t>8. MID</t>
  </si>
  <si>
    <t>Defination :- Extracts characters from the middle of text.</t>
  </si>
  <si>
    <t>Syntax :- =MID(text,start_num,num_chars)</t>
  </si>
  <si>
    <t>EDUKOTA</t>
  </si>
  <si>
    <t>DUKO</t>
  </si>
  <si>
    <t>NANOTE</t>
  </si>
  <si>
    <t>NOTE</t>
  </si>
  <si>
    <t>GOOGLE</t>
  </si>
  <si>
    <t>OOGLE</t>
  </si>
  <si>
    <t>FUNC</t>
  </si>
  <si>
    <t>GETPLUS</t>
  </si>
  <si>
    <t>ETPL</t>
  </si>
  <si>
    <t>9. CONCAT</t>
  </si>
  <si>
    <t>Defination :- Joins multiple text strings.</t>
  </si>
  <si>
    <t>Syntax :- =CONCAT(text1,text2,...)</t>
  </si>
  <si>
    <t>MUMMY</t>
  </si>
  <si>
    <t>PAPA</t>
  </si>
  <si>
    <t>MUMMYPAPA</t>
  </si>
  <si>
    <t>SWAROOP</t>
  </si>
  <si>
    <t>MRUNALI</t>
  </si>
  <si>
    <t>SWAROOPMRUNALI</t>
  </si>
  <si>
    <t>ARYAN</t>
  </si>
  <si>
    <t>ARYANAASTHA</t>
  </si>
  <si>
    <t>ASMITA</t>
  </si>
  <si>
    <t>SHRIYALI</t>
  </si>
  <si>
    <t>ASMITASHRIYALI</t>
  </si>
  <si>
    <t>ADITYA</t>
  </si>
  <si>
    <t>RISHI</t>
  </si>
  <si>
    <t>ADITYARISHI</t>
  </si>
  <si>
    <t>10. CONCATENATE</t>
  </si>
  <si>
    <t>Defination :- Combines text from multiple cells (older function).</t>
  </si>
  <si>
    <t>Syntax :- =CONCATENATE(text1,text2,...)</t>
  </si>
  <si>
    <t>ANALYST</t>
  </si>
  <si>
    <t>DATA -ANALYST</t>
  </si>
  <si>
    <t>COMPUTER</t>
  </si>
  <si>
    <t>TOOLS</t>
  </si>
  <si>
    <t>COMPUTER -TOOLS</t>
  </si>
  <si>
    <t>INSTITUDE</t>
  </si>
  <si>
    <t>ARC -INSTITUDE</t>
  </si>
  <si>
    <t>WORLD</t>
  </si>
  <si>
    <t>HELLO -WORLD</t>
  </si>
  <si>
    <t>CON</t>
  </si>
  <si>
    <t>CATENATE</t>
  </si>
  <si>
    <t>CON -CATENATE</t>
  </si>
  <si>
    <t>11. TRIM</t>
  </si>
  <si>
    <t>Defination :- Removes extra spaces from text.</t>
  </si>
  <si>
    <t>Syntax :- =TRIM(text)</t>
  </si>
  <si>
    <t>RITESH MOHIT</t>
  </si>
  <si>
    <t>ROHIT REETU</t>
  </si>
  <si>
    <t>RISHIKESH SOCIETY</t>
  </si>
  <si>
    <t>RUDRA BOLL</t>
  </si>
  <si>
    <t>RAKESH BAT</t>
  </si>
  <si>
    <t>12. FIND</t>
  </si>
  <si>
    <t>Defination :- Finds the position of a character in text (case-sensitive).</t>
  </si>
  <si>
    <t>Syntax :- =FIND(find_text,within_text)</t>
  </si>
  <si>
    <t>WHATSAPP</t>
  </si>
  <si>
    <t>INSTRAGRAM</t>
  </si>
  <si>
    <t>SNAPCHAT</t>
  </si>
  <si>
    <t>TELEGRAM</t>
  </si>
  <si>
    <t>DOCUMENT</t>
  </si>
  <si>
    <t>13. EXACT</t>
  </si>
  <si>
    <t>Defination :- Compares two text values and checks if they are exactly the same.</t>
  </si>
  <si>
    <t>Syntax :- =EXACT(text1,text2)</t>
  </si>
  <si>
    <t>ARUN</t>
  </si>
  <si>
    <t>ARJUN</t>
  </si>
  <si>
    <t>NUMBER</t>
  </si>
  <si>
    <t>TEXT</t>
  </si>
  <si>
    <t>text</t>
  </si>
  <si>
    <t>14. SUBSTITUTE</t>
  </si>
  <si>
    <t>Defination :- Replaces specific text in a string.</t>
  </si>
  <si>
    <t>Syntax :- =SUBSTITUTE(text,old_text,new_text)</t>
  </si>
  <si>
    <t>ARYAD</t>
  </si>
  <si>
    <t>DDSTHD</t>
  </si>
  <si>
    <t>SANSKRUTI</t>
  </si>
  <si>
    <t>SADSKRUTI</t>
  </si>
  <si>
    <t>SHOP</t>
  </si>
  <si>
    <t>SHPP</t>
  </si>
  <si>
    <t>DRINK</t>
  </si>
  <si>
    <t>DDINK</t>
  </si>
  <si>
    <t>15. REPT</t>
  </si>
  <si>
    <t>Defination :- Repeats text multiple times.</t>
  </si>
  <si>
    <t>Syntax :- =REPT(text,number_times)</t>
  </si>
  <si>
    <t>HOT</t>
  </si>
  <si>
    <t>HOTHOTHOT</t>
  </si>
  <si>
    <t>COLD</t>
  </si>
  <si>
    <t>COLDCOLDCOLDCOLD</t>
  </si>
  <si>
    <t>WATER</t>
  </si>
  <si>
    <t>WATERWATERWATERWATERWATERWATERWATER</t>
  </si>
  <si>
    <t>HOUSE</t>
  </si>
  <si>
    <t>HOUSEHOUSEHOUSEHOUSE</t>
  </si>
  <si>
    <t>SHEET</t>
  </si>
  <si>
    <t>SHEETSHEETSHEETSHEETSHEETSHEETSHEETSHEET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</si>
</sst>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\-dd\-yyyy"/>
    <numFmt numFmtId="165" formatCode="mm\-dd\-yyyy\ h:mm"/>
    <numFmt numFmtId="166" formatCode="m\-d"/>
    <numFmt numFmtId="167" formatCode="m/d"/>
    <numFmt numFmtId="168" formatCode="&quot;$&quot;#,##0.00"/>
  </numFmts>
  <fonts count="5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9"/>
      <color theme="1"/>
      <name val="Google Sans Mono"/>
    </font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u/>
      <sz val="12"/>
      <color rgb="FF000000"/>
      <name val="Calibri"/>
    </font>
    <font>
      <b/>
      <sz val="12"/>
      <color rgb="FF000000"/>
      <name val="Calibri"/>
    </font>
    <font>
      <sz val="1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&quot;Google Sans Mono&quot;"/>
    </font>
    <font>
      <b/>
      <sz val="10"/>
      <color rgb="FF000000"/>
      <name val="Arial"/>
      <scheme val="minor"/>
    </font>
    <font>
      <b/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Arial"/>
      <scheme val="minor"/>
    </font>
    <font>
      <b/>
      <u/>
      <sz val="13"/>
      <color rgb="FF000000"/>
      <name val="Arial"/>
    </font>
    <font>
      <b/>
      <sz val="13"/>
      <color rgb="FF000000"/>
      <name val="Arial"/>
      <scheme val="minor"/>
    </font>
    <font>
      <b/>
      <sz val="12"/>
      <color theme="1"/>
      <name val="Arial"/>
      <scheme val="minor"/>
    </font>
    <font>
      <b/>
      <sz val="13"/>
      <color theme="1"/>
      <name val="Arial"/>
      <scheme val="minor"/>
    </font>
    <font>
      <b/>
      <sz val="14"/>
      <color theme="1"/>
      <name val="Arial"/>
      <scheme val="minor"/>
    </font>
    <font>
      <b/>
      <sz val="15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u/>
      <sz val="11"/>
      <color rgb="FF000000"/>
      <name val="&quot;Aptos Narrow&quot;"/>
    </font>
    <font>
      <sz val="11"/>
      <color theme="1"/>
      <name val="&quot;Aptos Narrow&quot;"/>
    </font>
    <font>
      <u/>
      <sz val="11"/>
      <color rgb="FF0000FF"/>
      <name val="&quot;Aptos Narrow&quot;"/>
    </font>
    <font>
      <u/>
      <sz val="10"/>
      <color rgb="FF000000"/>
      <name val="Arial"/>
    </font>
    <font>
      <b/>
      <u/>
      <sz val="11"/>
      <color rgb="FF000000"/>
      <name val="Calibri"/>
    </font>
    <font>
      <sz val="10"/>
      <color rgb="FF1F1F1F"/>
      <name val="&quot;Google Sans&quot;"/>
    </font>
    <font>
      <sz val="9"/>
      <color rgb="FF1F1F1F"/>
      <name val="&quot;Google Sans&quot;"/>
    </font>
    <font>
      <sz val="11"/>
      <color rgb="FF1F1F1F"/>
      <name val="&quot;Google Sans&quot;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rgb="FF444746"/>
      <name val="&quot;Google Sans Text&quot;"/>
    </font>
    <font>
      <sz val="11"/>
      <color rgb="FF1F1F1F"/>
      <name val="Calibri"/>
    </font>
    <font>
      <b/>
      <sz val="14"/>
      <color rgb="FF000000"/>
      <name val="&quot;Aptos Narrow&quot;"/>
    </font>
    <font>
      <b/>
      <sz val="16"/>
      <color rgb="FF000000"/>
      <name val="&quot;Aptos Narrow&quot;"/>
    </font>
    <font>
      <i/>
      <sz val="22"/>
      <color rgb="FF000000"/>
      <name val="&quot;Times New Roman&quot;"/>
    </font>
    <font>
      <sz val="20"/>
      <color rgb="FF000000"/>
      <name val="&quot;Times New Roman&quot;"/>
    </font>
    <font>
      <sz val="18"/>
      <color rgb="FF000000"/>
      <name val="&quot;Times New Roman&quot;"/>
    </font>
    <font>
      <sz val="16"/>
      <color rgb="FF000000"/>
      <name val="&quot;Times New Roman&quot;"/>
    </font>
    <font>
      <u/>
      <sz val="14"/>
      <color rgb="FF000000"/>
      <name val="&quot;Times New Roman&quot;"/>
    </font>
    <font>
      <sz val="14"/>
      <color rgb="FF000000"/>
      <name val="&quot;Times New Roman&quot;"/>
    </font>
    <font>
      <sz val="12"/>
      <color rgb="FF000000"/>
      <name val="&quot;Times New Roman&quot;"/>
    </font>
    <font>
      <u/>
      <sz val="11"/>
      <color rgb="FF1155CC"/>
      <name val="&quot;Aptos Narrow&quot;, sans-serif"/>
    </font>
    <font>
      <u/>
      <sz val="10"/>
      <color rgb="FF1155CC"/>
      <name val="Arial"/>
    </font>
  </fonts>
  <fills count="3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A6C9EC"/>
        <bgColor rgb="FFA6C9EC"/>
      </patternFill>
    </fill>
    <fill>
      <patternFill patternType="solid">
        <fgColor rgb="FFDAE9F8"/>
        <bgColor rgb="FFDAE9F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DBDBDB"/>
        <bgColor rgb="FFDBDBDB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AF2D0"/>
        <bgColor rgb="FFDAF2D0"/>
      </patternFill>
    </fill>
    <fill>
      <patternFill patternType="solid">
        <fgColor rgb="FFF2CEEF"/>
        <bgColor rgb="FFF2CEEF"/>
      </patternFill>
    </fill>
    <fill>
      <patternFill patternType="solid">
        <fgColor rgb="FFBFBFBF"/>
        <bgColor rgb="FFBFBFBF"/>
      </patternFill>
    </fill>
    <fill>
      <patternFill patternType="solid">
        <fgColor rgb="FFF7C7AC"/>
        <bgColor rgb="FFF7C7AC"/>
      </patternFill>
    </fill>
    <fill>
      <patternFill patternType="solid">
        <fgColor rgb="FFFBE2D5"/>
        <bgColor rgb="FFFBE2D5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434343"/>
      </left>
      <right style="thin">
        <color rgb="FF000000"/>
      </right>
      <top style="thick">
        <color rgb="FF434343"/>
      </top>
      <bottom/>
      <diagonal/>
    </border>
    <border>
      <left style="thin">
        <color rgb="FF000000"/>
      </left>
      <right style="thin">
        <color rgb="FF000000"/>
      </right>
      <top style="thick">
        <color rgb="FF434343"/>
      </top>
      <bottom/>
      <diagonal/>
    </border>
    <border>
      <left style="thin">
        <color rgb="FF000000"/>
      </left>
      <right style="thin">
        <color rgb="FF000000"/>
      </right>
      <top style="thick">
        <color rgb="FF434343"/>
      </top>
      <bottom style="thick">
        <color rgb="FF434343"/>
      </bottom>
      <diagonal/>
    </border>
    <border>
      <left style="thin">
        <color rgb="FF000000"/>
      </left>
      <right style="thick">
        <color rgb="FF434343"/>
      </right>
      <top style="thick">
        <color rgb="FF434343"/>
      </top>
      <bottom style="thick">
        <color rgb="FF434343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43434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434343"/>
      </top>
      <bottom style="thin">
        <color rgb="FF000000"/>
      </bottom>
      <diagonal/>
    </border>
    <border>
      <left style="thin">
        <color rgb="FF000000"/>
      </left>
      <right style="thick">
        <color rgb="FF434343"/>
      </right>
      <top style="thick">
        <color rgb="FF434343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434343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434343"/>
      </bottom>
      <diagonal/>
    </border>
    <border>
      <left/>
      <right style="thin">
        <color rgb="FF000000"/>
      </right>
      <top style="thin">
        <color rgb="FF000000"/>
      </top>
      <bottom style="thick">
        <color rgb="FF43434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434343"/>
      </bottom>
      <diagonal/>
    </border>
    <border>
      <left style="thin">
        <color rgb="FF000000"/>
      </left>
      <right style="thick">
        <color rgb="FF434343"/>
      </right>
      <top style="thin">
        <color rgb="FF000000"/>
      </top>
      <bottom style="thick">
        <color rgb="FF434343"/>
      </bottom>
      <diagonal/>
    </border>
    <border>
      <left style="thick">
        <color rgb="FF000000"/>
      </left>
      <right style="thick">
        <color rgb="FF000000"/>
      </right>
      <top style="thick">
        <color rgb="FF434343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313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0" fontId="1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5" borderId="5" xfId="0" applyFont="1" applyFill="1" applyBorder="1" applyAlignment="1"/>
    <xf numFmtId="0" fontId="9" fillId="5" borderId="5" xfId="0" applyFont="1" applyFill="1" applyBorder="1" applyAlignment="1"/>
    <xf numFmtId="0" fontId="6" fillId="0" borderId="9" xfId="0" applyFont="1" applyBorder="1" applyAlignment="1">
      <alignment horizontal="right"/>
    </xf>
    <xf numFmtId="0" fontId="6" fillId="6" borderId="0" xfId="0" applyFont="1" applyFill="1" applyAlignment="1"/>
    <xf numFmtId="0" fontId="5" fillId="0" borderId="10" xfId="0" applyFont="1" applyBorder="1" applyAlignment="1"/>
    <xf numFmtId="0" fontId="5" fillId="0" borderId="0" xfId="0" applyFont="1" applyAlignment="1"/>
    <xf numFmtId="0" fontId="5" fillId="0" borderId="11" xfId="0" applyFont="1" applyBorder="1" applyAlignment="1"/>
    <xf numFmtId="0" fontId="6" fillId="0" borderId="9" xfId="0" applyFont="1" applyBorder="1" applyAlignment="1"/>
    <xf numFmtId="0" fontId="5" fillId="0" borderId="11" xfId="0" applyFont="1" applyBorder="1" applyAlignment="1"/>
    <xf numFmtId="0" fontId="6" fillId="0" borderId="12" xfId="0" applyFont="1" applyBorder="1" applyAlignment="1"/>
    <xf numFmtId="0" fontId="6" fillId="0" borderId="13" xfId="0" applyFont="1" applyBorder="1" applyAlignment="1"/>
    <xf numFmtId="0" fontId="5" fillId="0" borderId="14" xfId="0" applyFont="1" applyBorder="1" applyAlignment="1"/>
    <xf numFmtId="0" fontId="5" fillId="0" borderId="13" xfId="0" applyFont="1" applyBorder="1" applyAlignment="1"/>
    <xf numFmtId="0" fontId="5" fillId="0" borderId="15" xfId="0" applyFont="1" applyBorder="1" applyAlignment="1"/>
    <xf numFmtId="0" fontId="5" fillId="0" borderId="10" xfId="0" applyFont="1" applyBorder="1" applyAlignment="1"/>
    <xf numFmtId="0" fontId="5" fillId="0" borderId="0" xfId="0" applyFont="1" applyAlignment="1"/>
    <xf numFmtId="0" fontId="5" fillId="0" borderId="11" xfId="0" applyFont="1" applyBorder="1" applyAlignment="1"/>
    <xf numFmtId="0" fontId="5" fillId="0" borderId="14" xfId="0" applyFont="1" applyBorder="1" applyAlignment="1">
      <alignment horizontal="left"/>
    </xf>
    <xf numFmtId="0" fontId="5" fillId="0" borderId="10" xfId="0" applyFont="1" applyBorder="1" applyAlignment="1"/>
    <xf numFmtId="0" fontId="6" fillId="0" borderId="16" xfId="0" applyFont="1" applyBorder="1" applyAlignment="1">
      <alignment horizontal="right"/>
    </xf>
    <xf numFmtId="0" fontId="6" fillId="6" borderId="17" xfId="0" applyFont="1" applyFill="1" applyBorder="1" applyAlignment="1"/>
    <xf numFmtId="0" fontId="5" fillId="0" borderId="18" xfId="0" applyFont="1" applyBorder="1" applyAlignment="1"/>
    <xf numFmtId="0" fontId="5" fillId="0" borderId="17" xfId="0" applyFont="1" applyBorder="1" applyAlignment="1"/>
    <xf numFmtId="0" fontId="5" fillId="0" borderId="19" xfId="0" applyFont="1" applyBorder="1" applyAlignment="1"/>
    <xf numFmtId="0" fontId="5" fillId="0" borderId="19" xfId="0" applyFont="1" applyBorder="1" applyAlignment="1"/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5" fillId="0" borderId="18" xfId="0" applyFont="1" applyBorder="1" applyAlignment="1"/>
    <xf numFmtId="0" fontId="5" fillId="0" borderId="10" xfId="0" applyFont="1" applyBorder="1" applyAlignment="1"/>
    <xf numFmtId="0" fontId="5" fillId="0" borderId="1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7" borderId="5" xfId="0" applyFont="1" applyFill="1" applyBorder="1" applyAlignment="1"/>
    <xf numFmtId="0" fontId="1" fillId="0" borderId="5" xfId="0" applyFont="1" applyBorder="1"/>
    <xf numFmtId="0" fontId="1" fillId="0" borderId="5" xfId="0" applyFont="1" applyBorder="1" applyAlignment="1"/>
    <xf numFmtId="0" fontId="1" fillId="8" borderId="5" xfId="0" applyFont="1" applyFill="1" applyBorder="1" applyAlignment="1"/>
    <xf numFmtId="0" fontId="1" fillId="2" borderId="5" xfId="0" applyFont="1" applyFill="1" applyBorder="1" applyAlignment="1"/>
    <xf numFmtId="0" fontId="11" fillId="9" borderId="5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/>
    </xf>
    <xf numFmtId="0" fontId="12" fillId="0" borderId="9" xfId="0" applyFont="1" applyBorder="1" applyAlignment="1"/>
    <xf numFmtId="0" fontId="12" fillId="0" borderId="11" xfId="0" applyFont="1" applyBorder="1" applyAlignment="1"/>
    <xf numFmtId="0" fontId="11" fillId="0" borderId="9" xfId="0" applyFont="1" applyBorder="1" applyAlignment="1">
      <alignment horizontal="center"/>
    </xf>
    <xf numFmtId="0" fontId="11" fillId="9" borderId="11" xfId="0" applyFont="1" applyFill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/>
    <xf numFmtId="0" fontId="12" fillId="0" borderId="15" xfId="0" applyFont="1" applyBorder="1" applyAlignment="1"/>
    <xf numFmtId="0" fontId="12" fillId="0" borderId="15" xfId="0" applyFont="1" applyBorder="1" applyAlignment="1">
      <alignment horizontal="center"/>
    </xf>
    <xf numFmtId="0" fontId="12" fillId="9" borderId="11" xfId="0" applyFont="1" applyFill="1" applyBorder="1" applyAlignment="1"/>
    <xf numFmtId="0" fontId="13" fillId="0" borderId="11" xfId="0" applyFont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left"/>
    </xf>
    <xf numFmtId="0" fontId="14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0" xfId="0" applyFont="1" applyAlignment="1"/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5" fillId="11" borderId="5" xfId="0" applyFont="1" applyFill="1" applyBorder="1" applyAlignment="1"/>
    <xf numFmtId="0" fontId="2" fillId="11" borderId="5" xfId="0" applyFont="1" applyFill="1" applyBorder="1" applyAlignment="1"/>
    <xf numFmtId="0" fontId="2" fillId="11" borderId="6" xfId="0" applyFont="1" applyFill="1" applyBorder="1"/>
    <xf numFmtId="0" fontId="2" fillId="11" borderId="7" xfId="0" applyFont="1" applyFill="1" applyBorder="1" applyAlignment="1">
      <alignment horizontal="center"/>
    </xf>
    <xf numFmtId="0" fontId="1" fillId="11" borderId="8" xfId="0" applyFont="1" applyFill="1" applyBorder="1"/>
    <xf numFmtId="0" fontId="2" fillId="11" borderId="19" xfId="0" applyFont="1" applyFill="1" applyBorder="1" applyAlignment="1"/>
    <xf numFmtId="0" fontId="2" fillId="0" borderId="16" xfId="0" applyFont="1" applyBorder="1" applyAlignment="1"/>
    <xf numFmtId="0" fontId="2" fillId="12" borderId="16" xfId="0" applyFont="1" applyFill="1" applyBorder="1" applyAlignment="1"/>
    <xf numFmtId="0" fontId="1" fillId="0" borderId="18" xfId="0" applyFont="1" applyBorder="1" applyAlignment="1"/>
    <xf numFmtId="0" fontId="1" fillId="0" borderId="17" xfId="0" applyFont="1" applyBorder="1" applyAlignment="1"/>
    <xf numFmtId="0" fontId="1" fillId="0" borderId="19" xfId="0" applyFont="1" applyBorder="1" applyAlignment="1"/>
    <xf numFmtId="0" fontId="1" fillId="0" borderId="16" xfId="0" applyFont="1" applyBorder="1" applyAlignment="1"/>
    <xf numFmtId="0" fontId="1" fillId="0" borderId="19" xfId="0" applyFont="1" applyBorder="1"/>
    <xf numFmtId="0" fontId="1" fillId="0" borderId="9" xfId="0" applyFont="1" applyBorder="1"/>
    <xf numFmtId="0" fontId="1" fillId="0" borderId="10" xfId="0" applyFont="1" applyBorder="1" applyAlignment="1"/>
    <xf numFmtId="0" fontId="1" fillId="0" borderId="11" xfId="0" applyFont="1" applyBorder="1" applyAlignment="1"/>
    <xf numFmtId="0" fontId="1" fillId="0" borderId="9" xfId="0" applyFont="1" applyBorder="1" applyAlignment="1"/>
    <xf numFmtId="0" fontId="1" fillId="0" borderId="11" xfId="0" applyFont="1" applyBorder="1"/>
    <xf numFmtId="0" fontId="2" fillId="0" borderId="12" xfId="0" applyFont="1" applyBorder="1"/>
    <xf numFmtId="0" fontId="1" fillId="0" borderId="12" xfId="0" applyFont="1" applyBorder="1"/>
    <xf numFmtId="0" fontId="1" fillId="0" borderId="14" xfId="0" applyFont="1" applyBorder="1"/>
    <xf numFmtId="0" fontId="1" fillId="0" borderId="13" xfId="0" applyFont="1" applyBorder="1"/>
    <xf numFmtId="0" fontId="1" fillId="0" borderId="15" xfId="0" applyFont="1" applyBorder="1"/>
    <xf numFmtId="0" fontId="2" fillId="0" borderId="9" xfId="0" applyFont="1" applyBorder="1" applyAlignment="1"/>
    <xf numFmtId="0" fontId="2" fillId="12" borderId="9" xfId="0" applyFont="1" applyFill="1" applyBorder="1" applyAlignment="1"/>
    <xf numFmtId="0" fontId="1" fillId="0" borderId="10" xfId="0" applyFont="1" applyBorder="1"/>
    <xf numFmtId="0" fontId="1" fillId="0" borderId="14" xfId="0" applyFont="1" applyBorder="1" applyAlignment="1"/>
    <xf numFmtId="0" fontId="1" fillId="0" borderId="13" xfId="0" applyFont="1" applyBorder="1" applyAlignment="1"/>
    <xf numFmtId="0" fontId="1" fillId="0" borderId="12" xfId="0" applyFont="1" applyBorder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vertical="center"/>
    </xf>
    <xf numFmtId="0" fontId="5" fillId="0" borderId="5" xfId="0" applyFont="1" applyBorder="1" applyAlignment="1"/>
    <xf numFmtId="0" fontId="5" fillId="0" borderId="5" xfId="0" applyFont="1" applyBorder="1" applyAlignment="1"/>
    <xf numFmtId="0" fontId="16" fillId="13" borderId="0" xfId="0" applyFont="1" applyFill="1" applyAlignment="1"/>
    <xf numFmtId="0" fontId="1" fillId="13" borderId="0" xfId="0" applyFont="1" applyFill="1" applyAlignment="1"/>
    <xf numFmtId="0" fontId="1" fillId="13" borderId="0" xfId="0" applyFont="1" applyFill="1"/>
    <xf numFmtId="0" fontId="1" fillId="14" borderId="0" xfId="0" applyFont="1" applyFill="1" applyAlignment="1"/>
    <xf numFmtId="0" fontId="17" fillId="0" borderId="0" xfId="0" applyFont="1"/>
    <xf numFmtId="0" fontId="18" fillId="15" borderId="5" xfId="0" applyFont="1" applyFill="1" applyBorder="1" applyAlignment="1">
      <alignment horizontal="center"/>
    </xf>
    <xf numFmtId="0" fontId="19" fillId="15" borderId="5" xfId="0" applyFont="1" applyFill="1" applyBorder="1" applyAlignment="1">
      <alignment horizontal="center"/>
    </xf>
    <xf numFmtId="0" fontId="19" fillId="15" borderId="5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23" fillId="0" borderId="5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4" fillId="0" borderId="0" xfId="0" applyFont="1" applyAlignment="1"/>
    <xf numFmtId="0" fontId="1" fillId="0" borderId="0" xfId="0" applyFont="1" applyAlignment="1"/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/>
    <xf numFmtId="0" fontId="1" fillId="0" borderId="27" xfId="0" applyFont="1" applyBorder="1"/>
    <xf numFmtId="0" fontId="1" fillId="0" borderId="8" xfId="0" applyFont="1" applyBorder="1" applyAlignment="1">
      <alignment horizontal="center"/>
    </xf>
    <xf numFmtId="0" fontId="1" fillId="0" borderId="29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/>
    <xf numFmtId="0" fontId="1" fillId="0" borderId="33" xfId="0" applyFont="1" applyBorder="1"/>
    <xf numFmtId="0" fontId="1" fillId="0" borderId="8" xfId="0" applyFont="1" applyBorder="1" applyAlignment="1">
      <alignment horizontal="center"/>
    </xf>
    <xf numFmtId="0" fontId="1" fillId="0" borderId="32" xfId="0" applyFont="1" applyBorder="1"/>
    <xf numFmtId="0" fontId="1" fillId="0" borderId="2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5" fillId="16" borderId="5" xfId="0" applyFont="1" applyFill="1" applyBorder="1" applyAlignment="1">
      <alignment horizontal="center" vertical="center"/>
    </xf>
    <xf numFmtId="0" fontId="26" fillId="16" borderId="5" xfId="0" applyFont="1" applyFill="1" applyBorder="1" applyAlignment="1">
      <alignment horizontal="left" vertical="center"/>
    </xf>
    <xf numFmtId="0" fontId="26" fillId="16" borderId="5" xfId="0" applyFont="1" applyFill="1" applyBorder="1" applyAlignment="1">
      <alignment horizontal="left"/>
    </xf>
    <xf numFmtId="0" fontId="26" fillId="16" borderId="5" xfId="0" applyFont="1" applyFill="1" applyBorder="1" applyAlignment="1">
      <alignment horizontal="left"/>
    </xf>
    <xf numFmtId="0" fontId="25" fillId="16" borderId="5" xfId="0" applyFont="1" applyFill="1" applyBorder="1" applyAlignment="1">
      <alignment horizontal="center" vertical="center"/>
    </xf>
    <xf numFmtId="0" fontId="26" fillId="16" borderId="5" xfId="0" applyFont="1" applyFill="1" applyBorder="1" applyAlignment="1">
      <alignment horizontal="left" vertical="center"/>
    </xf>
    <xf numFmtId="0" fontId="25" fillId="17" borderId="5" xfId="0" applyFont="1" applyFill="1" applyBorder="1" applyAlignment="1">
      <alignment horizontal="left"/>
    </xf>
    <xf numFmtId="0" fontId="25" fillId="16" borderId="5" xfId="0" applyFont="1" applyFill="1" applyBorder="1" applyAlignment="1">
      <alignment horizontal="left"/>
    </xf>
    <xf numFmtId="0" fontId="25" fillId="16" borderId="5" xfId="0" applyFont="1" applyFill="1" applyBorder="1" applyAlignment="1">
      <alignment horizontal="left"/>
    </xf>
    <xf numFmtId="0" fontId="25" fillId="16" borderId="5" xfId="0" applyFont="1" applyFill="1" applyBorder="1" applyAlignment="1">
      <alignment horizontal="left"/>
    </xf>
    <xf numFmtId="0" fontId="25" fillId="17" borderId="5" xfId="0" applyFont="1" applyFill="1" applyBorder="1" applyAlignment="1">
      <alignment horizontal="left"/>
    </xf>
    <xf numFmtId="0" fontId="27" fillId="16" borderId="5" xfId="0" applyFont="1" applyFill="1" applyBorder="1" applyAlignment="1">
      <alignment horizontal="left"/>
    </xf>
    <xf numFmtId="0" fontId="28" fillId="17" borderId="5" xfId="0" applyFont="1" applyFill="1" applyBorder="1" applyAlignment="1">
      <alignment horizontal="left"/>
    </xf>
    <xf numFmtId="164" fontId="25" fillId="17" borderId="5" xfId="0" applyNumberFormat="1" applyFont="1" applyFill="1" applyBorder="1" applyAlignment="1">
      <alignment horizontal="left"/>
    </xf>
    <xf numFmtId="164" fontId="25" fillId="16" borderId="5" xfId="0" applyNumberFormat="1" applyFont="1" applyFill="1" applyBorder="1" applyAlignment="1">
      <alignment horizontal="left"/>
    </xf>
    <xf numFmtId="0" fontId="25" fillId="17" borderId="5" xfId="0" applyFont="1" applyFill="1" applyBorder="1" applyAlignment="1">
      <alignment horizontal="left"/>
    </xf>
    <xf numFmtId="0" fontId="29" fillId="0" borderId="5" xfId="0" applyFont="1" applyBorder="1" applyAlignment="1">
      <alignment horizontal="left"/>
    </xf>
    <xf numFmtId="165" fontId="25" fillId="17" borderId="5" xfId="0" applyNumberFormat="1" applyFont="1" applyFill="1" applyBorder="1" applyAlignment="1">
      <alignment horizontal="left"/>
    </xf>
    <xf numFmtId="165" fontId="25" fillId="16" borderId="5" xfId="0" applyNumberFormat="1" applyFont="1" applyFill="1" applyBorder="1" applyAlignment="1">
      <alignment horizontal="left"/>
    </xf>
    <xf numFmtId="18" fontId="25" fillId="16" borderId="5" xfId="0" applyNumberFormat="1" applyFont="1" applyFill="1" applyBorder="1" applyAlignment="1">
      <alignment horizontal="left"/>
    </xf>
    <xf numFmtId="0" fontId="25" fillId="16" borderId="5" xfId="0" applyFont="1" applyFill="1" applyBorder="1" applyAlignment="1">
      <alignment vertical="center"/>
    </xf>
    <xf numFmtId="0" fontId="25" fillId="16" borderId="0" xfId="0" applyFont="1" applyFill="1" applyAlignment="1">
      <alignment horizontal="center"/>
    </xf>
    <xf numFmtId="0" fontId="25" fillId="16" borderId="5" xfId="0" applyFont="1" applyFill="1" applyBorder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18" borderId="0" xfId="0" applyFont="1" applyFill="1" applyAlignment="1"/>
    <xf numFmtId="0" fontId="2" fillId="13" borderId="0" xfId="0" applyFont="1" applyFill="1" applyAlignment="1"/>
    <xf numFmtId="0" fontId="2" fillId="0" borderId="0" xfId="0" applyFont="1"/>
    <xf numFmtId="0" fontId="3" fillId="19" borderId="5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1" fillId="20" borderId="5" xfId="0" applyFont="1" applyFill="1" applyBorder="1" applyAlignment="1">
      <alignment horizontal="center"/>
    </xf>
    <xf numFmtId="0" fontId="30" fillId="7" borderId="5" xfId="0" applyFont="1" applyFill="1" applyBorder="1" applyAlignment="1"/>
    <xf numFmtId="0" fontId="3" fillId="7" borderId="5" xfId="0" applyFont="1" applyFill="1" applyBorder="1" applyAlignment="1"/>
    <xf numFmtId="0" fontId="1" fillId="13" borderId="16" xfId="0" applyFont="1" applyFill="1" applyBorder="1"/>
    <xf numFmtId="0" fontId="1" fillId="13" borderId="5" xfId="0" applyFont="1" applyFill="1" applyBorder="1" applyAlignment="1"/>
    <xf numFmtId="0" fontId="1" fillId="13" borderId="5" xfId="0" applyFont="1" applyFill="1" applyBorder="1"/>
    <xf numFmtId="0" fontId="1" fillId="13" borderId="12" xfId="0" applyFont="1" applyFill="1" applyBorder="1"/>
    <xf numFmtId="0" fontId="6" fillId="0" borderId="0" xfId="0" applyFont="1" applyAlignment="1"/>
    <xf numFmtId="0" fontId="31" fillId="21" borderId="5" xfId="0" applyFont="1" applyFill="1" applyBorder="1" applyAlignment="1"/>
    <xf numFmtId="0" fontId="6" fillId="21" borderId="5" xfId="0" applyFont="1" applyFill="1" applyBorder="1" applyAlignment="1"/>
    <xf numFmtId="0" fontId="5" fillId="22" borderId="5" xfId="0" applyFont="1" applyFill="1" applyBorder="1" applyAlignment="1"/>
    <xf numFmtId="0" fontId="5" fillId="22" borderId="5" xfId="0" applyFont="1" applyFill="1" applyBorder="1" applyAlignment="1">
      <alignment horizontal="left"/>
    </xf>
    <xf numFmtId="0" fontId="5" fillId="22" borderId="5" xfId="0" applyFont="1" applyFill="1" applyBorder="1" applyAlignment="1"/>
    <xf numFmtId="0" fontId="5" fillId="23" borderId="5" xfId="0" applyFont="1" applyFill="1" applyBorder="1" applyAlignment="1">
      <alignment horizontal="left"/>
    </xf>
    <xf numFmtId="0" fontId="5" fillId="23" borderId="5" xfId="0" applyFont="1" applyFill="1" applyBorder="1" applyAlignment="1"/>
    <xf numFmtId="0" fontId="5" fillId="23" borderId="5" xfId="0" applyFont="1" applyFill="1" applyBorder="1" applyAlignment="1"/>
    <xf numFmtId="0" fontId="6" fillId="0" borderId="5" xfId="0" applyFont="1" applyBorder="1" applyAlignment="1"/>
    <xf numFmtId="0" fontId="5" fillId="23" borderId="5" xfId="0" applyFont="1" applyFill="1" applyBorder="1" applyAlignment="1">
      <alignment horizontal="left"/>
    </xf>
    <xf numFmtId="166" fontId="5" fillId="22" borderId="5" xfId="0" applyNumberFormat="1" applyFont="1" applyFill="1" applyBorder="1" applyAlignment="1">
      <alignment horizontal="left"/>
    </xf>
    <xf numFmtId="167" fontId="5" fillId="22" borderId="5" xfId="0" applyNumberFormat="1" applyFont="1" applyFill="1" applyBorder="1" applyAlignment="1">
      <alignment horizontal="left"/>
    </xf>
    <xf numFmtId="4" fontId="5" fillId="23" borderId="5" xfId="0" applyNumberFormat="1" applyFont="1" applyFill="1" applyBorder="1" applyAlignment="1">
      <alignment horizontal="left"/>
    </xf>
    <xf numFmtId="3" fontId="5" fillId="23" borderId="5" xfId="0" applyNumberFormat="1" applyFont="1" applyFill="1" applyBorder="1" applyAlignment="1">
      <alignment horizontal="left"/>
    </xf>
    <xf numFmtId="0" fontId="5" fillId="23" borderId="5" xfId="0" applyFont="1" applyFill="1" applyBorder="1" applyAlignment="1">
      <alignment horizontal="center"/>
    </xf>
    <xf numFmtId="0" fontId="2" fillId="24" borderId="0" xfId="0" applyFont="1" applyFill="1" applyAlignment="1"/>
    <xf numFmtId="0" fontId="1" fillId="25" borderId="0" xfId="0" applyFont="1" applyFill="1"/>
    <xf numFmtId="0" fontId="1" fillId="25" borderId="0" xfId="0" applyFont="1" applyFill="1" applyAlignment="1"/>
    <xf numFmtId="0" fontId="2" fillId="25" borderId="0" xfId="0" applyFont="1" applyFill="1" applyAlignment="1"/>
    <xf numFmtId="0" fontId="1" fillId="26" borderId="0" xfId="0" applyFont="1" applyFill="1"/>
    <xf numFmtId="0" fontId="1" fillId="26" borderId="0" xfId="0" applyFont="1" applyFill="1" applyAlignment="1"/>
    <xf numFmtId="0" fontId="2" fillId="26" borderId="0" xfId="0" applyFont="1" applyFill="1" applyAlignment="1"/>
    <xf numFmtId="0" fontId="1" fillId="27" borderId="0" xfId="0" applyFont="1" applyFill="1"/>
    <xf numFmtId="0" fontId="1" fillId="27" borderId="0" xfId="0" applyFont="1" applyFill="1" applyAlignment="1"/>
    <xf numFmtId="0" fontId="2" fillId="27" borderId="0" xfId="0" applyFont="1" applyFill="1" applyAlignment="1"/>
    <xf numFmtId="0" fontId="1" fillId="28" borderId="0" xfId="0" applyFont="1" applyFill="1" applyAlignment="1"/>
    <xf numFmtId="0" fontId="2" fillId="28" borderId="0" xfId="0" applyFont="1" applyFill="1" applyAlignment="1"/>
    <xf numFmtId="0" fontId="1" fillId="28" borderId="0" xfId="0" applyFont="1" applyFill="1"/>
    <xf numFmtId="0" fontId="2" fillId="29" borderId="0" xfId="0" applyFont="1" applyFill="1" applyAlignment="1"/>
    <xf numFmtId="0" fontId="2" fillId="29" borderId="0" xfId="0" applyFont="1" applyFill="1"/>
    <xf numFmtId="0" fontId="2" fillId="6" borderId="0" xfId="0" applyFont="1" applyFill="1" applyAlignment="1"/>
    <xf numFmtId="0" fontId="32" fillId="9" borderId="0" xfId="0" applyFont="1" applyFill="1" applyAlignment="1"/>
    <xf numFmtId="0" fontId="33" fillId="9" borderId="0" xfId="0" applyFont="1" applyFill="1" applyAlignment="1"/>
    <xf numFmtId="0" fontId="34" fillId="9" borderId="0" xfId="0" applyFont="1" applyFill="1" applyAlignment="1"/>
    <xf numFmtId="0" fontId="2" fillId="0" borderId="0" xfId="0" applyFont="1" applyAlignment="1">
      <alignment horizontal="center"/>
    </xf>
    <xf numFmtId="0" fontId="1" fillId="30" borderId="5" xfId="0" applyFont="1" applyFill="1" applyBorder="1" applyAlignment="1"/>
    <xf numFmtId="0" fontId="1" fillId="9" borderId="0" xfId="0" applyFont="1" applyFill="1"/>
    <xf numFmtId="0" fontId="1" fillId="24" borderId="9" xfId="0" applyFont="1" applyFill="1" applyBorder="1"/>
    <xf numFmtId="0" fontId="1" fillId="0" borderId="17" xfId="0" applyFont="1" applyBorder="1"/>
    <xf numFmtId="0" fontId="1" fillId="0" borderId="18" xfId="0" applyFont="1" applyBorder="1"/>
    <xf numFmtId="0" fontId="1" fillId="9" borderId="0" xfId="0" applyFont="1" applyFill="1" applyAlignment="1">
      <alignment horizontal="right"/>
    </xf>
    <xf numFmtId="0" fontId="1" fillId="24" borderId="9" xfId="0" applyFont="1" applyFill="1" applyBorder="1" applyAlignment="1"/>
    <xf numFmtId="0" fontId="1" fillId="0" borderId="0" xfId="0" applyFont="1" applyAlignment="1">
      <alignment horizontal="left"/>
    </xf>
    <xf numFmtId="0" fontId="1" fillId="9" borderId="0" xfId="0" applyFont="1" applyFill="1" applyAlignment="1">
      <alignment horizontal="righ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24" borderId="12" xfId="0" applyFont="1" applyFill="1" applyBorder="1"/>
    <xf numFmtId="0" fontId="1" fillId="0" borderId="13" xfId="0" applyFont="1" applyBorder="1" applyAlignment="1">
      <alignment horizontal="left"/>
    </xf>
    <xf numFmtId="0" fontId="1" fillId="24" borderId="16" xfId="0" applyFont="1" applyFill="1" applyBorder="1" applyAlignment="1"/>
    <xf numFmtId="0" fontId="1" fillId="0" borderId="17" xfId="0" applyFont="1" applyBorder="1" applyAlignment="1">
      <alignment horizontal="left"/>
    </xf>
    <xf numFmtId="0" fontId="35" fillId="0" borderId="11" xfId="0" applyFont="1" applyBorder="1" applyAlignment="1"/>
    <xf numFmtId="0" fontId="1" fillId="0" borderId="19" xfId="0" applyFont="1" applyBorder="1" applyAlignment="1">
      <alignment horizontal="left"/>
    </xf>
    <xf numFmtId="0" fontId="35" fillId="0" borderId="0" xfId="0" applyFont="1" applyAlignment="1"/>
    <xf numFmtId="0" fontId="1" fillId="0" borderId="11" xfId="0" applyFont="1" applyBorder="1" applyAlignment="1">
      <alignment horizontal="left"/>
    </xf>
    <xf numFmtId="0" fontId="36" fillId="0" borderId="0" xfId="0" applyFont="1" applyAlignment="1"/>
    <xf numFmtId="0" fontId="35" fillId="0" borderId="11" xfId="0" applyFont="1" applyBorder="1" applyAlignment="1">
      <alignment horizontal="left"/>
    </xf>
    <xf numFmtId="0" fontId="35" fillId="0" borderId="17" xfId="0" applyFont="1" applyBorder="1" applyAlignment="1">
      <alignment horizontal="left"/>
    </xf>
    <xf numFmtId="0" fontId="35" fillId="0" borderId="10" xfId="0" applyFont="1" applyBorder="1" applyAlignment="1"/>
    <xf numFmtId="0" fontId="35" fillId="0" borderId="0" xfId="0" applyFont="1" applyAlignment="1">
      <alignment horizontal="left"/>
    </xf>
    <xf numFmtId="168" fontId="35" fillId="0" borderId="10" xfId="0" applyNumberFormat="1" applyFont="1" applyBorder="1" applyAlignment="1">
      <alignment horizontal="left"/>
    </xf>
    <xf numFmtId="0" fontId="35" fillId="0" borderId="14" xfId="0" applyFont="1" applyBorder="1" applyAlignment="1"/>
    <xf numFmtId="0" fontId="37" fillId="0" borderId="11" xfId="0" applyFont="1" applyBorder="1"/>
    <xf numFmtId="0" fontId="35" fillId="0" borderId="10" xfId="0" applyFont="1" applyBorder="1" applyAlignment="1">
      <alignment horizontal="left"/>
    </xf>
    <xf numFmtId="0" fontId="37" fillId="0" borderId="15" xfId="0" applyFont="1" applyBorder="1"/>
    <xf numFmtId="0" fontId="35" fillId="0" borderId="19" xfId="0" applyFont="1" applyBorder="1" applyAlignment="1"/>
    <xf numFmtId="0" fontId="35" fillId="0" borderId="19" xfId="0" applyFont="1" applyBorder="1" applyAlignment="1">
      <alignment horizontal="left"/>
    </xf>
    <xf numFmtId="0" fontId="35" fillId="0" borderId="13" xfId="0" applyFont="1" applyBorder="1" applyAlignment="1">
      <alignment horizontal="left"/>
    </xf>
    <xf numFmtId="0" fontId="35" fillId="0" borderId="15" xfId="0" applyFont="1" applyBorder="1" applyAlignment="1"/>
    <xf numFmtId="0" fontId="35" fillId="0" borderId="13" xfId="0" applyFont="1" applyBorder="1" applyAlignment="1"/>
    <xf numFmtId="0" fontId="37" fillId="0" borderId="0" xfId="0" applyFont="1"/>
    <xf numFmtId="0" fontId="38" fillId="0" borderId="0" xfId="0" applyFont="1" applyAlignment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45" fillId="34" borderId="5" xfId="0" applyFont="1" applyFill="1" applyBorder="1" applyAlignment="1">
      <alignment horizontal="center"/>
    </xf>
    <xf numFmtId="0" fontId="46" fillId="34" borderId="5" xfId="0" applyFont="1" applyFill="1" applyBorder="1" applyAlignment="1">
      <alignment horizontal="center"/>
    </xf>
    <xf numFmtId="0" fontId="47" fillId="35" borderId="5" xfId="0" applyFont="1" applyFill="1" applyBorder="1" applyAlignment="1">
      <alignment horizontal="center"/>
    </xf>
    <xf numFmtId="0" fontId="47" fillId="35" borderId="5" xfId="0" applyFont="1" applyFill="1" applyBorder="1" applyAlignment="1"/>
    <xf numFmtId="0" fontId="25" fillId="35" borderId="5" xfId="0" applyFont="1" applyFill="1" applyBorder="1" applyAlignment="1">
      <alignment horizontal="center"/>
    </xf>
    <xf numFmtId="0" fontId="25" fillId="35" borderId="5" xfId="0" applyFont="1" applyFill="1" applyBorder="1" applyAlignment="1"/>
    <xf numFmtId="0" fontId="47" fillId="35" borderId="5" xfId="0" applyFont="1" applyFill="1" applyBorder="1" applyAlignment="1">
      <alignment horizontal="center"/>
    </xf>
    <xf numFmtId="0" fontId="47" fillId="35" borderId="5" xfId="0" applyFont="1" applyFill="1" applyBorder="1" applyAlignment="1">
      <alignment horizontal="center"/>
    </xf>
    <xf numFmtId="0" fontId="47" fillId="35" borderId="5" xfId="0" applyFont="1" applyFill="1" applyBorder="1" applyAlignment="1"/>
    <xf numFmtId="0" fontId="25" fillId="35" borderId="9" xfId="0" applyFont="1" applyFill="1" applyBorder="1" applyAlignment="1">
      <alignment horizontal="center"/>
    </xf>
    <xf numFmtId="0" fontId="25" fillId="35" borderId="11" xfId="0" applyFont="1" applyFill="1" applyBorder="1" applyAlignment="1">
      <alignment horizontal="center"/>
    </xf>
    <xf numFmtId="0" fontId="46" fillId="0" borderId="0" xfId="0" applyFont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6" fillId="11" borderId="16" xfId="0" applyFont="1" applyFill="1" applyBorder="1" applyAlignment="1">
      <alignment horizontal="center" vertical="center"/>
    </xf>
    <xf numFmtId="0" fontId="10" fillId="0" borderId="12" xfId="0" applyFont="1" applyBorder="1"/>
    <xf numFmtId="0" fontId="6" fillId="11" borderId="18" xfId="0" applyFont="1" applyFill="1" applyBorder="1" applyAlignment="1">
      <alignment horizontal="center" vertical="center"/>
    </xf>
    <xf numFmtId="0" fontId="10" fillId="0" borderId="17" xfId="0" applyFont="1" applyBorder="1"/>
    <xf numFmtId="0" fontId="10" fillId="0" borderId="19" xfId="0" applyFont="1" applyBorder="1"/>
    <xf numFmtId="0" fontId="10" fillId="0" borderId="14" xfId="0" applyFont="1" applyBorder="1"/>
    <xf numFmtId="0" fontId="10" fillId="0" borderId="13" xfId="0" applyFont="1" applyBorder="1"/>
    <xf numFmtId="0" fontId="10" fillId="0" borderId="15" xfId="0" applyFont="1" applyBorder="1"/>
    <xf numFmtId="0" fontId="5" fillId="0" borderId="16" xfId="0" applyFont="1" applyBorder="1" applyAlignment="1">
      <alignment horizontal="center" vertical="center"/>
    </xf>
    <xf numFmtId="0" fontId="10" fillId="0" borderId="9" xfId="0" applyFont="1" applyBorder="1"/>
    <xf numFmtId="0" fontId="20" fillId="0" borderId="24" xfId="0" applyFont="1" applyBorder="1" applyAlignment="1">
      <alignment horizontal="center" vertical="center"/>
    </xf>
    <xf numFmtId="0" fontId="10" fillId="0" borderId="28" xfId="0" applyFont="1" applyBorder="1"/>
    <xf numFmtId="0" fontId="10" fillId="0" borderId="30" xfId="0" applyFont="1" applyBorder="1"/>
    <xf numFmtId="0" fontId="20" fillId="0" borderId="34" xfId="0" applyFont="1" applyBorder="1" applyAlignment="1">
      <alignment horizontal="center" vertical="center"/>
    </xf>
    <xf numFmtId="0" fontId="10" fillId="0" borderId="35" xfId="0" applyFont="1" applyBorder="1"/>
    <xf numFmtId="0" fontId="25" fillId="16" borderId="9" xfId="0" applyFont="1" applyFill="1" applyBorder="1" applyAlignment="1">
      <alignment horizontal="center" vertical="center"/>
    </xf>
    <xf numFmtId="0" fontId="25" fillId="16" borderId="11" xfId="0" applyFont="1" applyFill="1" applyBorder="1" applyAlignment="1">
      <alignment horizontal="center" vertical="center"/>
    </xf>
    <xf numFmtId="0" fontId="10" fillId="0" borderId="11" xfId="0" applyFont="1" applyBorder="1"/>
    <xf numFmtId="0" fontId="26" fillId="16" borderId="9" xfId="0" applyFont="1" applyFill="1" applyBorder="1" applyAlignment="1">
      <alignment horizontal="center" vertical="center"/>
    </xf>
    <xf numFmtId="0" fontId="26" fillId="16" borderId="16" xfId="0" applyFont="1" applyFill="1" applyBorder="1" applyAlignment="1">
      <alignment horizontal="center" vertical="center"/>
    </xf>
    <xf numFmtId="0" fontId="5" fillId="0" borderId="0" xfId="0" applyFont="1" applyAlignment="1"/>
    <xf numFmtId="0" fontId="0" fillId="0" borderId="0" xfId="0" applyFont="1" applyAlignment="1"/>
    <xf numFmtId="0" fontId="2" fillId="29" borderId="0" xfId="0" applyFont="1" applyFill="1" applyAlignment="1">
      <alignment horizontal="center"/>
    </xf>
    <xf numFmtId="0" fontId="1" fillId="0" borderId="18" xfId="0" applyFont="1" applyBorder="1" applyAlignment="1">
      <alignment horizontal="left"/>
    </xf>
    <xf numFmtId="0" fontId="42" fillId="16" borderId="6" xfId="0" applyFont="1" applyFill="1" applyBorder="1" applyAlignment="1">
      <alignment horizontal="center"/>
    </xf>
    <xf numFmtId="0" fontId="43" fillId="32" borderId="6" xfId="0" applyFont="1" applyFill="1" applyBorder="1" applyAlignment="1">
      <alignment horizontal="center"/>
    </xf>
    <xf numFmtId="0" fontId="44" fillId="33" borderId="6" xfId="0" applyFont="1" applyFill="1" applyBorder="1" applyAlignment="1">
      <alignment horizontal="center"/>
    </xf>
    <xf numFmtId="0" fontId="46" fillId="34" borderId="7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1" fillId="31" borderId="6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</font>
      <fill>
        <patternFill patternType="solid">
          <fgColor rgb="FFEAD1DC"/>
          <bgColor rgb="FFEAD1D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AtharvaNINAWe@gmail.com" TargetMode="External"/><Relationship Id="rId2" Type="http://schemas.openxmlformats.org/officeDocument/2006/relationships/hyperlink" Target="mailto:ATHARV@GOLD.COM" TargetMode="External"/><Relationship Id="rId1" Type="http://schemas.openxmlformats.org/officeDocument/2006/relationships/hyperlink" Target="http://google.com/" TargetMode="External"/><Relationship Id="rId5" Type="http://schemas.openxmlformats.org/officeDocument/2006/relationships/hyperlink" Target="mailto:Atharvaninawe@gmail.com" TargetMode="External"/><Relationship Id="rId4" Type="http://schemas.openxmlformats.org/officeDocument/2006/relationships/hyperlink" Target="mailto:AtharvaNINAWe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://s.no/" TargetMode="External"/><Relationship Id="rId13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12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11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15" Type="http://schemas.openxmlformats.org/officeDocument/2006/relationships/hyperlink" Target="http://s.no/" TargetMode="External"/><Relationship Id="rId10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Relationship Id="rId9" Type="http://schemas.openxmlformats.org/officeDocument/2006/relationships/hyperlink" Target="http://s.no/" TargetMode="External"/><Relationship Id="rId14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4"/>
  <sheetViews>
    <sheetView workbookViewId="0"/>
  </sheetViews>
  <sheetFormatPr defaultColWidth="12.6640625" defaultRowHeight="15.75" customHeight="1"/>
  <cols>
    <col min="5" max="5" width="29.33203125" customWidth="1"/>
    <col min="6" max="6" width="23.21875" customWidth="1"/>
  </cols>
  <sheetData>
    <row r="1" spans="1:10">
      <c r="A1" s="1" t="s">
        <v>0</v>
      </c>
    </row>
    <row r="3" spans="1:10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10">
      <c r="C4" s="3"/>
      <c r="D4" s="3"/>
      <c r="E4" s="4"/>
      <c r="F4" s="4"/>
      <c r="G4" s="5"/>
      <c r="H4" s="6"/>
      <c r="I4" s="6"/>
    </row>
    <row r="5" spans="1:10">
      <c r="C5" s="7">
        <v>1</v>
      </c>
      <c r="D5" s="8" t="s">
        <v>6</v>
      </c>
      <c r="E5" s="4" t="s">
        <v>7</v>
      </c>
      <c r="F5" s="4" t="s">
        <v>8</v>
      </c>
      <c r="G5" s="5" t="str">
        <f t="shared" ref="G5:G9" si="0">CLEAN(E5)</f>
        <v>Abu Dhabi</v>
      </c>
      <c r="H5" s="6"/>
      <c r="I5" s="6"/>
    </row>
    <row r="6" spans="1:10">
      <c r="C6" s="4"/>
      <c r="D6" s="5"/>
      <c r="E6" s="4" t="s">
        <v>9</v>
      </c>
      <c r="F6" s="4" t="s">
        <v>10</v>
      </c>
      <c r="G6" s="5" t="str">
        <f t="shared" si="0"/>
        <v>Tulips-Roses</v>
      </c>
      <c r="H6" s="6"/>
      <c r="I6" s="6"/>
    </row>
    <row r="7" spans="1:10">
      <c r="C7" s="4"/>
      <c r="D7" s="5"/>
      <c r="E7" s="4" t="s">
        <v>11</v>
      </c>
      <c r="F7" s="4" t="s">
        <v>12</v>
      </c>
      <c r="G7" s="5" t="str">
        <f t="shared" si="0"/>
        <v>Ferrari World!</v>
      </c>
      <c r="H7" s="6"/>
      <c r="I7" s="6"/>
    </row>
    <row r="8" spans="1:10">
      <c r="C8" s="4"/>
      <c r="D8" s="5"/>
      <c r="E8" s="4" t="s">
        <v>13</v>
      </c>
      <c r="F8" s="4" t="s">
        <v>14</v>
      </c>
      <c r="G8" s="5" t="str">
        <f t="shared" si="0"/>
        <v>Report2026</v>
      </c>
      <c r="H8" s="6"/>
      <c r="I8" s="6"/>
    </row>
    <row r="9" spans="1:10">
      <c r="C9" s="9"/>
      <c r="D9" s="10"/>
      <c r="E9" s="9" t="s">
        <v>15</v>
      </c>
      <c r="F9" s="9" t="s">
        <v>16</v>
      </c>
      <c r="G9" s="10" t="str">
        <f t="shared" si="0"/>
        <v>Hello world</v>
      </c>
      <c r="H9" s="6"/>
      <c r="I9" s="6"/>
    </row>
    <row r="10" spans="1:10">
      <c r="C10" s="5"/>
      <c r="D10" s="5"/>
      <c r="E10" s="5"/>
      <c r="F10" s="5"/>
      <c r="G10" s="5"/>
    </row>
    <row r="11" spans="1:10">
      <c r="C11" s="3">
        <v>2</v>
      </c>
      <c r="D11" s="8" t="s">
        <v>17</v>
      </c>
      <c r="E11" s="4" t="s">
        <v>18</v>
      </c>
      <c r="F11" s="4" t="s">
        <v>19</v>
      </c>
      <c r="G11" s="5" t="e">
        <f ca="1">_xludf.CONCAT(E12,E11)</f>
        <v>#NAME?</v>
      </c>
    </row>
    <row r="12" spans="1:10">
      <c r="C12" s="5"/>
      <c r="D12" s="5"/>
      <c r="E12" s="4" t="s">
        <v>20</v>
      </c>
      <c r="F12" s="5"/>
      <c r="G12" s="5"/>
    </row>
    <row r="13" spans="1:10">
      <c r="C13" s="5"/>
      <c r="D13" s="5"/>
      <c r="E13" s="4" t="s">
        <v>21</v>
      </c>
      <c r="F13" s="4" t="s">
        <v>22</v>
      </c>
      <c r="G13" s="5" t="e">
        <f ca="1">_xludf.CONCAT(E$14,E$13)</f>
        <v>#NAME?</v>
      </c>
    </row>
    <row r="14" spans="1:10">
      <c r="C14" s="5"/>
      <c r="D14" s="5"/>
      <c r="E14" s="4" t="s">
        <v>23</v>
      </c>
      <c r="F14" s="5"/>
      <c r="G14" s="5"/>
      <c r="J14" s="11"/>
    </row>
    <row r="15" spans="1:10">
      <c r="C15" s="5"/>
      <c r="D15" s="5"/>
      <c r="E15" s="4" t="s">
        <v>24</v>
      </c>
      <c r="F15" s="4" t="s">
        <v>25</v>
      </c>
      <c r="G15" s="5" t="e">
        <f ca="1">_xludf.CONCAT(E16,E15)</f>
        <v>#NAME?</v>
      </c>
    </row>
    <row r="16" spans="1:10">
      <c r="C16" s="5"/>
      <c r="D16" s="5"/>
      <c r="E16" s="4" t="s">
        <v>26</v>
      </c>
      <c r="F16" s="5"/>
      <c r="G16" s="5"/>
    </row>
    <row r="17" spans="3:7">
      <c r="C17" s="5"/>
      <c r="D17" s="5"/>
      <c r="E17" s="4" t="s">
        <v>27</v>
      </c>
      <c r="F17" s="4" t="s">
        <v>28</v>
      </c>
      <c r="G17" s="5" t="e">
        <f ca="1">_xludf.CONCAT(E18,E17)</f>
        <v>#NAME?</v>
      </c>
    </row>
    <row r="18" spans="3:7">
      <c r="C18" s="5"/>
      <c r="D18" s="5"/>
      <c r="E18" s="4" t="s">
        <v>29</v>
      </c>
      <c r="F18" s="5"/>
      <c r="G18" s="5"/>
    </row>
    <row r="19" spans="3:7">
      <c r="C19" s="5"/>
      <c r="D19" s="5"/>
      <c r="E19" s="4" t="s">
        <v>30</v>
      </c>
      <c r="F19" s="4" t="s">
        <v>31</v>
      </c>
      <c r="G19" s="5" t="e">
        <f ca="1">_xludf.CONCAT(E20,E19)</f>
        <v>#NAME?</v>
      </c>
    </row>
    <row r="20" spans="3:7">
      <c r="C20" s="10"/>
      <c r="D20" s="10"/>
      <c r="E20" s="9" t="s">
        <v>32</v>
      </c>
      <c r="F20" s="10"/>
      <c r="G20" s="10"/>
    </row>
    <row r="21" spans="3:7">
      <c r="C21" s="5"/>
      <c r="D21" s="5"/>
      <c r="E21" s="5"/>
      <c r="F21" s="5"/>
      <c r="G21" s="5"/>
    </row>
    <row r="22" spans="3:7">
      <c r="C22" s="3">
        <v>3</v>
      </c>
      <c r="D22" s="8" t="s">
        <v>33</v>
      </c>
      <c r="E22" s="4" t="s">
        <v>34</v>
      </c>
      <c r="F22" s="4" t="s">
        <v>35</v>
      </c>
      <c r="G22" s="5">
        <f>FIND("a",E22)</f>
        <v>3</v>
      </c>
    </row>
    <row r="23" spans="3:7">
      <c r="C23" s="5"/>
      <c r="D23" s="5"/>
      <c r="E23" s="4" t="s">
        <v>36</v>
      </c>
      <c r="F23" s="4" t="s">
        <v>37</v>
      </c>
      <c r="G23" s="5">
        <f>FIND("n",E23)</f>
        <v>4</v>
      </c>
    </row>
    <row r="24" spans="3:7">
      <c r="C24" s="5"/>
      <c r="D24" s="5"/>
      <c r="E24" s="4" t="s">
        <v>38</v>
      </c>
      <c r="F24" s="4" t="s">
        <v>39</v>
      </c>
      <c r="G24" s="5">
        <f>FIND("a",E24)</f>
        <v>6</v>
      </c>
    </row>
    <row r="25" spans="3:7">
      <c r="C25" s="5"/>
      <c r="D25" s="5"/>
      <c r="E25" s="4" t="s">
        <v>40</v>
      </c>
      <c r="F25" s="4" t="s">
        <v>41</v>
      </c>
      <c r="G25" s="5">
        <f>FIND("C",E25)</f>
        <v>1</v>
      </c>
    </row>
    <row r="26" spans="3:7">
      <c r="C26" s="5"/>
      <c r="D26" s="5"/>
      <c r="E26" s="4" t="s">
        <v>42</v>
      </c>
      <c r="F26" s="4" t="s">
        <v>43</v>
      </c>
      <c r="G26" s="5">
        <f>FIND("-",E26)</f>
        <v>3</v>
      </c>
    </row>
    <row r="27" spans="3:7">
      <c r="C27" s="12"/>
      <c r="D27" s="12"/>
      <c r="E27" s="12"/>
      <c r="F27" s="12"/>
      <c r="G27" s="12"/>
    </row>
    <row r="28" spans="3:7">
      <c r="C28" s="3">
        <v>4</v>
      </c>
      <c r="D28" s="8" t="s">
        <v>44</v>
      </c>
      <c r="E28" s="4" t="s">
        <v>45</v>
      </c>
      <c r="F28" s="4" t="s">
        <v>46</v>
      </c>
      <c r="G28" s="5" t="b">
        <f>EXACT(E28,E29)</f>
        <v>0</v>
      </c>
    </row>
    <row r="29" spans="3:7">
      <c r="C29" s="5"/>
      <c r="D29" s="5"/>
      <c r="E29" s="4" t="s">
        <v>47</v>
      </c>
      <c r="F29" s="5"/>
      <c r="G29" s="5"/>
    </row>
    <row r="30" spans="3:7">
      <c r="C30" s="5"/>
      <c r="D30" s="5"/>
      <c r="E30" s="4" t="s">
        <v>48</v>
      </c>
      <c r="F30" s="4" t="s">
        <v>49</v>
      </c>
      <c r="G30" s="5" t="b">
        <f>EXACT(E30,E31)</f>
        <v>1</v>
      </c>
    </row>
    <row r="31" spans="3:7">
      <c r="C31" s="5"/>
      <c r="D31" s="5"/>
      <c r="E31" s="4" t="s">
        <v>48</v>
      </c>
      <c r="F31" s="5"/>
      <c r="G31" s="5"/>
    </row>
    <row r="32" spans="3:7">
      <c r="C32" s="5"/>
      <c r="D32" s="5"/>
      <c r="E32" s="4" t="s">
        <v>50</v>
      </c>
      <c r="F32" s="4" t="s">
        <v>51</v>
      </c>
      <c r="G32" s="5" t="b">
        <f>EXACT(E32,E33)</f>
        <v>0</v>
      </c>
    </row>
    <row r="33" spans="3:7">
      <c r="C33" s="5"/>
      <c r="D33" s="5"/>
      <c r="E33" s="4" t="s">
        <v>52</v>
      </c>
      <c r="F33" s="5"/>
      <c r="G33" s="5"/>
    </row>
    <row r="34" spans="3:7">
      <c r="C34" s="5"/>
      <c r="D34" s="5"/>
      <c r="E34" s="4" t="s">
        <v>53</v>
      </c>
      <c r="F34" s="4" t="s">
        <v>54</v>
      </c>
      <c r="G34" s="5" t="b">
        <f>EXACT(E34,E35)</f>
        <v>0</v>
      </c>
    </row>
    <row r="35" spans="3:7">
      <c r="C35" s="5"/>
      <c r="D35" s="5"/>
      <c r="E35" s="4" t="s">
        <v>55</v>
      </c>
      <c r="F35" s="5"/>
      <c r="G35" s="5"/>
    </row>
    <row r="36" spans="3:7">
      <c r="C36" s="5"/>
      <c r="D36" s="5"/>
      <c r="E36" s="4" t="s">
        <v>3</v>
      </c>
      <c r="F36" s="4" t="s">
        <v>56</v>
      </c>
      <c r="G36" s="5" t="b">
        <f>EXACT(E36,E37)</f>
        <v>1</v>
      </c>
    </row>
    <row r="37" spans="3:7">
      <c r="C37" s="5"/>
      <c r="D37" s="5"/>
      <c r="E37" s="4" t="s">
        <v>3</v>
      </c>
      <c r="F37" s="5"/>
      <c r="G37" s="5"/>
    </row>
    <row r="38" spans="3:7">
      <c r="C38" s="12"/>
      <c r="D38" s="12"/>
      <c r="E38" s="12"/>
      <c r="F38" s="12"/>
      <c r="G38" s="12"/>
    </row>
    <row r="39" spans="3:7">
      <c r="C39" s="3">
        <v>5</v>
      </c>
      <c r="D39" s="8" t="s">
        <v>57</v>
      </c>
      <c r="E39" s="4" t="s">
        <v>58</v>
      </c>
      <c r="F39" s="4" t="s">
        <v>59</v>
      </c>
      <c r="G39" s="5" t="str">
        <f>LEFT(E39,8)</f>
        <v>TCS-Comp</v>
      </c>
    </row>
    <row r="40" spans="3:7">
      <c r="C40" s="5"/>
      <c r="D40" s="5"/>
      <c r="E40" s="4" t="s">
        <v>60</v>
      </c>
      <c r="F40" s="4" t="s">
        <v>61</v>
      </c>
      <c r="G40" s="5" t="str">
        <f>LEFT(E40,4)</f>
        <v>Dash</v>
      </c>
    </row>
    <row r="41" spans="3:7">
      <c r="C41" s="5"/>
      <c r="D41" s="5"/>
      <c r="E41" s="4" t="s">
        <v>62</v>
      </c>
      <c r="F41" s="4" t="s">
        <v>63</v>
      </c>
      <c r="G41" s="5" t="str">
        <f t="shared" ref="G41:G43" si="1">LEFT(E41,10)</f>
        <v>Logical co</v>
      </c>
    </row>
    <row r="42" spans="3:7">
      <c r="C42" s="5"/>
      <c r="D42" s="5"/>
      <c r="E42" s="4" t="s">
        <v>64</v>
      </c>
      <c r="F42" s="4" t="s">
        <v>65</v>
      </c>
      <c r="G42" s="5" t="str">
        <f t="shared" si="1"/>
        <v>Arithmetic</v>
      </c>
    </row>
    <row r="43" spans="3:7">
      <c r="C43" s="5"/>
      <c r="D43" s="5"/>
      <c r="E43" s="4" t="s">
        <v>66</v>
      </c>
      <c r="F43" s="4" t="s">
        <v>67</v>
      </c>
      <c r="G43" s="5" t="str">
        <f t="shared" si="1"/>
        <v>Substituti</v>
      </c>
    </row>
    <row r="44" spans="3:7">
      <c r="C44" s="12"/>
      <c r="D44" s="12"/>
      <c r="E44" s="12"/>
      <c r="F44" s="12"/>
      <c r="G44" s="12"/>
    </row>
    <row r="45" spans="3:7">
      <c r="C45" s="3">
        <v>6</v>
      </c>
      <c r="D45" s="8" t="s">
        <v>68</v>
      </c>
      <c r="E45" s="4" t="s">
        <v>69</v>
      </c>
      <c r="F45" s="4" t="s">
        <v>70</v>
      </c>
      <c r="G45" s="5">
        <f t="shared" ref="G45:G49" si="2">LEN(E45)</f>
        <v>5</v>
      </c>
    </row>
    <row r="46" spans="3:7">
      <c r="C46" s="5"/>
      <c r="D46" s="5"/>
      <c r="E46" s="4" t="s">
        <v>71</v>
      </c>
      <c r="F46" s="4" t="s">
        <v>72</v>
      </c>
      <c r="G46" s="5">
        <f t="shared" si="2"/>
        <v>16</v>
      </c>
    </row>
    <row r="47" spans="3:7">
      <c r="C47" s="5"/>
      <c r="D47" s="5"/>
      <c r="E47" s="4" t="s">
        <v>73</v>
      </c>
      <c r="F47" s="4" t="s">
        <v>74</v>
      </c>
      <c r="G47" s="5">
        <f t="shared" si="2"/>
        <v>18</v>
      </c>
    </row>
    <row r="48" spans="3:7">
      <c r="C48" s="5"/>
      <c r="D48" s="5"/>
      <c r="E48" s="4" t="s">
        <v>75</v>
      </c>
      <c r="F48" s="4" t="s">
        <v>76</v>
      </c>
      <c r="G48" s="5">
        <f t="shared" si="2"/>
        <v>13</v>
      </c>
    </row>
    <row r="49" spans="3:7">
      <c r="C49" s="5"/>
      <c r="D49" s="5"/>
      <c r="E49" s="4" t="s">
        <v>77</v>
      </c>
      <c r="F49" s="4" t="s">
        <v>78</v>
      </c>
      <c r="G49" s="5">
        <f t="shared" si="2"/>
        <v>3</v>
      </c>
    </row>
    <row r="50" spans="3:7">
      <c r="C50" s="12"/>
      <c r="D50" s="12"/>
      <c r="E50" s="12"/>
      <c r="F50" s="12"/>
      <c r="G50" s="12"/>
    </row>
    <row r="51" spans="3:7">
      <c r="C51" s="3">
        <v>7</v>
      </c>
      <c r="D51" s="8" t="s">
        <v>79</v>
      </c>
      <c r="E51" s="4" t="s">
        <v>80</v>
      </c>
      <c r="F51" s="4" t="s">
        <v>81</v>
      </c>
      <c r="G51" s="5" t="str">
        <f t="shared" ref="G51:G55" si="3">LOWER(E51)</f>
        <v>cybersecurity</v>
      </c>
    </row>
    <row r="52" spans="3:7">
      <c r="C52" s="5"/>
      <c r="D52" s="5"/>
      <c r="E52" s="4" t="s">
        <v>82</v>
      </c>
      <c r="F52" s="4" t="s">
        <v>83</v>
      </c>
      <c r="G52" s="5" t="str">
        <f t="shared" si="3"/>
        <v>colour-red</v>
      </c>
    </row>
    <row r="53" spans="3:7">
      <c r="C53" s="5"/>
      <c r="D53" s="5"/>
      <c r="E53" s="4" t="s">
        <v>84</v>
      </c>
      <c r="F53" s="4" t="s">
        <v>85</v>
      </c>
      <c r="G53" s="5" t="str">
        <f t="shared" si="3"/>
        <v>verbal reading</v>
      </c>
    </row>
    <row r="54" spans="3:7">
      <c r="C54" s="5"/>
      <c r="D54" s="5"/>
      <c r="E54" s="4" t="s">
        <v>86</v>
      </c>
      <c r="F54" s="4" t="s">
        <v>87</v>
      </c>
      <c r="G54" s="5" t="str">
        <f t="shared" si="3"/>
        <v>asus vivobook</v>
      </c>
    </row>
    <row r="55" spans="3:7">
      <c r="C55" s="5"/>
      <c r="D55" s="5"/>
      <c r="E55" s="4" t="s">
        <v>88</v>
      </c>
      <c r="F55" s="4" t="s">
        <v>89</v>
      </c>
      <c r="G55" s="5" t="str">
        <f t="shared" si="3"/>
        <v>f1 ferrari</v>
      </c>
    </row>
    <row r="56" spans="3:7">
      <c r="C56" s="12"/>
      <c r="D56" s="12"/>
      <c r="E56" s="12"/>
      <c r="F56" s="12"/>
      <c r="G56" s="12"/>
    </row>
    <row r="57" spans="3:7">
      <c r="C57" s="3">
        <v>8</v>
      </c>
      <c r="D57" s="8" t="s">
        <v>90</v>
      </c>
      <c r="E57" s="4" t="s">
        <v>91</v>
      </c>
      <c r="F57" s="4" t="s">
        <v>92</v>
      </c>
      <c r="G57" s="5" t="str">
        <f>MID(E57,9,19)</f>
        <v xml:space="preserve"> University</v>
      </c>
    </row>
    <row r="58" spans="3:7">
      <c r="C58" s="5"/>
      <c r="D58" s="5"/>
      <c r="E58" s="4" t="s">
        <v>93</v>
      </c>
      <c r="F58" s="4" t="s">
        <v>94</v>
      </c>
      <c r="G58" s="5" t="str">
        <f>MID(E58,7,15)</f>
        <v>d-Game</v>
      </c>
    </row>
    <row r="59" spans="3:7">
      <c r="C59" s="5"/>
      <c r="D59" s="5"/>
      <c r="E59" s="4" t="s">
        <v>95</v>
      </c>
      <c r="F59" s="4" t="s">
        <v>96</v>
      </c>
      <c r="G59" s="5" t="str">
        <f>MID(E59,4,25)</f>
        <v xml:space="preserve"> Verstappen</v>
      </c>
    </row>
    <row r="60" spans="3:7">
      <c r="C60" s="5"/>
      <c r="D60" s="5"/>
      <c r="E60" s="4" t="s">
        <v>97</v>
      </c>
      <c r="F60" s="4" t="s">
        <v>98</v>
      </c>
      <c r="G60" s="5" t="str">
        <f>MID(E60,2,7)</f>
        <v>eather</v>
      </c>
    </row>
    <row r="61" spans="3:7">
      <c r="C61" s="5"/>
      <c r="D61" s="5"/>
      <c r="E61" s="4" t="s">
        <v>99</v>
      </c>
      <c r="F61" s="4" t="s">
        <v>100</v>
      </c>
      <c r="G61" s="5" t="str">
        <f>MID(E61,5,19)</f>
        <v>gment</v>
      </c>
    </row>
    <row r="62" spans="3:7">
      <c r="C62" s="12"/>
      <c r="D62" s="12"/>
      <c r="E62" s="12"/>
      <c r="F62" s="12"/>
      <c r="G62" s="12"/>
    </row>
    <row r="63" spans="3:7">
      <c r="C63" s="3">
        <v>9</v>
      </c>
      <c r="D63" s="8" t="s">
        <v>101</v>
      </c>
      <c r="E63" s="4" t="s">
        <v>102</v>
      </c>
      <c r="F63" s="4" t="s">
        <v>103</v>
      </c>
      <c r="G63" s="5" t="str">
        <f t="shared" ref="G63:G67" si="4">PROPER(E63)</f>
        <v>Lewis Hamilton</v>
      </c>
    </row>
    <row r="64" spans="3:7">
      <c r="C64" s="5"/>
      <c r="D64" s="5"/>
      <c r="E64" s="4" t="s">
        <v>104</v>
      </c>
      <c r="F64" s="4" t="s">
        <v>105</v>
      </c>
      <c r="G64" s="5" t="str">
        <f t="shared" si="4"/>
        <v>British</v>
      </c>
    </row>
    <row r="65" spans="3:7">
      <c r="C65" s="5"/>
      <c r="D65" s="5"/>
      <c r="E65" s="4" t="s">
        <v>106</v>
      </c>
      <c r="F65" s="4" t="s">
        <v>107</v>
      </c>
      <c r="G65" s="5" t="str">
        <f t="shared" si="4"/>
        <v>Williams17</v>
      </c>
    </row>
    <row r="66" spans="3:7">
      <c r="C66" s="5"/>
      <c r="D66" s="5"/>
      <c r="E66" s="4" t="s">
        <v>108</v>
      </c>
      <c r="F66" s="4" t="s">
        <v>109</v>
      </c>
      <c r="G66" s="5" t="str">
        <f t="shared" si="4"/>
        <v>Hocking</v>
      </c>
    </row>
    <row r="67" spans="3:7">
      <c r="C67" s="5"/>
      <c r="D67" s="5"/>
      <c r="E67" s="4" t="s">
        <v>110</v>
      </c>
      <c r="F67" s="4" t="s">
        <v>111</v>
      </c>
      <c r="G67" s="5" t="str">
        <f t="shared" si="4"/>
        <v>Paris</v>
      </c>
    </row>
    <row r="68" spans="3:7">
      <c r="C68" s="12"/>
      <c r="D68" s="12"/>
      <c r="E68" s="12"/>
      <c r="F68" s="12"/>
      <c r="G68" s="12"/>
    </row>
    <row r="69" spans="3:7">
      <c r="C69" s="3">
        <v>10</v>
      </c>
      <c r="D69" s="8" t="s">
        <v>112</v>
      </c>
      <c r="E69" s="4" t="s">
        <v>113</v>
      </c>
      <c r="F69" s="4" t="s">
        <v>114</v>
      </c>
      <c r="G69" s="5" t="str">
        <f>REPLACE(E69,4,12,"d")</f>
        <v>Lead</v>
      </c>
    </row>
    <row r="70" spans="3:7">
      <c r="C70" s="5"/>
      <c r="D70" s="5"/>
      <c r="E70" s="4" t="s">
        <v>115</v>
      </c>
      <c r="F70" s="4" t="s">
        <v>116</v>
      </c>
      <c r="G70" s="5" t="str">
        <f>REPLACE(E70,2,5," ")</f>
        <v>C ent</v>
      </c>
    </row>
    <row r="71" spans="3:7">
      <c r="C71" s="5"/>
      <c r="D71" s="5"/>
      <c r="E71" s="4" t="s">
        <v>117</v>
      </c>
      <c r="F71" s="4" t="s">
        <v>118</v>
      </c>
      <c r="G71" s="5" t="str">
        <f>REPLACE(E71,8,19,"l")</f>
        <v>National</v>
      </c>
    </row>
    <row r="72" spans="3:7">
      <c r="C72" s="5"/>
      <c r="D72" s="5"/>
      <c r="E72" s="4" t="s">
        <v>119</v>
      </c>
      <c r="F72" s="4" t="s">
        <v>120</v>
      </c>
      <c r="G72" s="5" t="str">
        <f>REPLACE(E72,4,10,"o")</f>
        <v>Indo</v>
      </c>
    </row>
    <row r="73" spans="3:7">
      <c r="C73" s="5"/>
      <c r="D73" s="5"/>
      <c r="E73" s="4" t="s">
        <v>121</v>
      </c>
      <c r="F73" s="4" t="s">
        <v>122</v>
      </c>
      <c r="G73" s="5" t="str">
        <f>REPLACE(E73,8,10,"dent")</f>
        <v>Presidedent</v>
      </c>
    </row>
    <row r="74" spans="3:7">
      <c r="C74" s="12"/>
      <c r="D74" s="12"/>
      <c r="E74" s="12"/>
      <c r="F74" s="12"/>
      <c r="G74" s="12"/>
    </row>
    <row r="75" spans="3:7">
      <c r="C75" s="3">
        <v>11</v>
      </c>
      <c r="D75" s="8" t="s">
        <v>123</v>
      </c>
      <c r="E75" s="4" t="s">
        <v>124</v>
      </c>
      <c r="F75" s="4" t="s">
        <v>125</v>
      </c>
      <c r="G75" s="5" t="str">
        <f t="shared" ref="G75:G76" si="5">RIGHT(E75,5)</f>
        <v>lower</v>
      </c>
    </row>
    <row r="76" spans="3:7">
      <c r="C76" s="5"/>
      <c r="D76" s="5"/>
      <c r="E76" s="4" t="s">
        <v>126</v>
      </c>
      <c r="F76" s="4" t="s">
        <v>127</v>
      </c>
      <c r="G76" s="5" t="str">
        <f t="shared" si="5"/>
        <v>ssell</v>
      </c>
    </row>
    <row r="77" spans="3:7">
      <c r="C77" s="5"/>
      <c r="D77" s="5"/>
      <c r="E77" s="4" t="s">
        <v>128</v>
      </c>
      <c r="F77" s="4" t="s">
        <v>129</v>
      </c>
      <c r="G77" s="5" t="str">
        <f>RIGHT(E77,4)</f>
        <v>bara</v>
      </c>
    </row>
    <row r="78" spans="3:7">
      <c r="C78" s="5"/>
      <c r="D78" s="5"/>
      <c r="E78" s="4" t="s">
        <v>130</v>
      </c>
      <c r="F78" s="4" t="s">
        <v>131</v>
      </c>
      <c r="G78" s="5" t="str">
        <f>RIGHT(E78,8)</f>
        <v>.Bethell</v>
      </c>
    </row>
    <row r="79" spans="3:7">
      <c r="C79" s="5"/>
      <c r="D79" s="5"/>
      <c r="E79" s="4" t="s">
        <v>132</v>
      </c>
      <c r="F79" s="4" t="s">
        <v>133</v>
      </c>
      <c r="G79" s="5" t="str">
        <f>RIGHT(E79,12)</f>
        <v>ack_ panther</v>
      </c>
    </row>
    <row r="80" spans="3:7">
      <c r="C80" s="12"/>
      <c r="D80" s="12"/>
      <c r="E80" s="12"/>
      <c r="F80" s="12"/>
      <c r="G80" s="12"/>
    </row>
    <row r="81" spans="3:7">
      <c r="C81" s="3">
        <v>12</v>
      </c>
      <c r="D81" s="8" t="s">
        <v>134</v>
      </c>
      <c r="E81" s="4" t="s">
        <v>135</v>
      </c>
      <c r="F81" s="4" t="s">
        <v>136</v>
      </c>
      <c r="G81" s="5" t="str">
        <f t="shared" ref="G81:G85" si="6">LOWER(E81)</f>
        <v>structure</v>
      </c>
    </row>
    <row r="82" spans="3:7">
      <c r="C82" s="5"/>
      <c r="D82" s="5"/>
      <c r="E82" s="4" t="s">
        <v>137</v>
      </c>
      <c r="F82" s="4" t="s">
        <v>138</v>
      </c>
      <c r="G82" s="13" t="str">
        <f t="shared" si="6"/>
        <v>basketball</v>
      </c>
    </row>
    <row r="83" spans="3:7">
      <c r="C83" s="5"/>
      <c r="D83" s="5"/>
      <c r="E83" s="4" t="s">
        <v>139</v>
      </c>
      <c r="F83" s="4" t="s">
        <v>140</v>
      </c>
      <c r="G83" s="5" t="str">
        <f t="shared" si="6"/>
        <v>human</v>
      </c>
    </row>
    <row r="84" spans="3:7">
      <c r="C84" s="5"/>
      <c r="D84" s="5"/>
      <c r="E84" s="4" t="s">
        <v>141</v>
      </c>
      <c r="F84" s="4" t="s">
        <v>142</v>
      </c>
      <c r="G84" s="5" t="str">
        <f t="shared" si="6"/>
        <v>lilly</v>
      </c>
    </row>
    <row r="85" spans="3:7">
      <c r="C85" s="10"/>
      <c r="D85" s="10"/>
      <c r="E85" s="9" t="s">
        <v>143</v>
      </c>
      <c r="F85" s="9" t="s">
        <v>144</v>
      </c>
      <c r="G85" s="10" t="str">
        <f t="shared" si="6"/>
        <v>jujutu-kaisen</v>
      </c>
    </row>
    <row r="86" spans="3:7">
      <c r="C86" s="14"/>
      <c r="D86" s="14"/>
      <c r="E86" s="14"/>
      <c r="F86" s="14"/>
      <c r="G86" s="14"/>
    </row>
    <row r="87" spans="3:7">
      <c r="C87" s="14"/>
      <c r="D87" s="14"/>
      <c r="E87" s="14"/>
      <c r="F87" s="14"/>
      <c r="G87" s="14"/>
    </row>
    <row r="88" spans="3:7">
      <c r="C88" s="14"/>
      <c r="D88" s="14"/>
      <c r="E88" s="14"/>
      <c r="F88" s="14"/>
      <c r="G88" s="14"/>
    </row>
    <row r="89" spans="3:7">
      <c r="C89" s="14"/>
      <c r="D89" s="14"/>
      <c r="E89" s="14"/>
      <c r="F89" s="14"/>
      <c r="G89" s="14"/>
    </row>
    <row r="90" spans="3:7">
      <c r="C90" s="14"/>
      <c r="D90" s="14"/>
      <c r="E90" s="14"/>
      <c r="F90" s="14"/>
      <c r="G90" s="14"/>
    </row>
    <row r="91" spans="3:7">
      <c r="C91" s="14"/>
      <c r="D91" s="14"/>
      <c r="E91" s="14"/>
      <c r="F91" s="14"/>
      <c r="G91" s="14"/>
    </row>
    <row r="92" spans="3:7">
      <c r="C92" s="14"/>
      <c r="D92" s="14"/>
      <c r="E92" s="14"/>
      <c r="F92" s="14"/>
      <c r="G92" s="14"/>
    </row>
    <row r="93" spans="3:7">
      <c r="C93" s="14"/>
      <c r="D93" s="14"/>
      <c r="E93" s="14"/>
      <c r="F93" s="14"/>
      <c r="G93" s="14"/>
    </row>
    <row r="94" spans="3:7">
      <c r="C94" s="14"/>
      <c r="D94" s="14"/>
      <c r="E94" s="14"/>
      <c r="F94" s="14"/>
      <c r="G9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75"/>
  <sheetViews>
    <sheetView workbookViewId="0"/>
  </sheetViews>
  <sheetFormatPr defaultColWidth="12.6640625" defaultRowHeight="15.75" customHeight="1"/>
  <cols>
    <col min="3" max="3" width="13.77734375" customWidth="1"/>
    <col min="4" max="4" width="23.21875" customWidth="1"/>
    <col min="5" max="5" width="26.6640625" customWidth="1"/>
    <col min="6" max="6" width="21" customWidth="1"/>
    <col min="7" max="7" width="8.6640625" customWidth="1"/>
    <col min="8" max="8" width="21.109375" customWidth="1"/>
    <col min="9" max="9" width="29.33203125" customWidth="1"/>
  </cols>
  <sheetData>
    <row r="1" spans="1:9" ht="15.75" customHeight="1">
      <c r="A1" s="15"/>
      <c r="B1" s="15"/>
      <c r="C1" s="16"/>
      <c r="D1" s="16"/>
      <c r="E1" s="15"/>
      <c r="F1" s="15"/>
      <c r="G1" s="15"/>
      <c r="H1" s="15"/>
      <c r="I1" s="15"/>
    </row>
    <row r="2" spans="1:9" ht="15.75" customHeight="1">
      <c r="A2" s="15"/>
      <c r="B2" s="15"/>
      <c r="C2" s="17" t="s">
        <v>145</v>
      </c>
      <c r="D2" s="16"/>
      <c r="E2" s="15"/>
      <c r="F2" s="15"/>
      <c r="G2" s="15"/>
      <c r="H2" s="15"/>
      <c r="I2" s="15"/>
    </row>
    <row r="3" spans="1:9" ht="15.75" customHeight="1">
      <c r="A3" s="15"/>
      <c r="B3" s="15"/>
      <c r="C3" s="18" t="s">
        <v>146</v>
      </c>
      <c r="D3" s="19" t="s">
        <v>147</v>
      </c>
      <c r="E3" s="279" t="s">
        <v>148</v>
      </c>
      <c r="F3" s="280"/>
      <c r="G3" s="281"/>
      <c r="H3" s="19" t="s">
        <v>149</v>
      </c>
      <c r="I3" s="19" t="s">
        <v>150</v>
      </c>
    </row>
    <row r="4" spans="1:9" ht="15.75" customHeight="1">
      <c r="A4" s="15"/>
      <c r="B4" s="15"/>
      <c r="C4" s="20">
        <v>1</v>
      </c>
      <c r="D4" s="21" t="s">
        <v>151</v>
      </c>
      <c r="E4" s="22" t="s">
        <v>152</v>
      </c>
      <c r="F4" s="23" t="s">
        <v>153</v>
      </c>
      <c r="G4" s="24" t="s">
        <v>154</v>
      </c>
      <c r="H4" s="24" t="s">
        <v>155</v>
      </c>
      <c r="I4" s="24" t="s">
        <v>156</v>
      </c>
    </row>
    <row r="5" spans="1:9" ht="15.75" customHeight="1">
      <c r="A5" s="15"/>
      <c r="B5" s="15"/>
      <c r="C5" s="25"/>
      <c r="D5" s="16"/>
      <c r="E5" s="22" t="s">
        <v>157</v>
      </c>
      <c r="F5" s="23" t="s">
        <v>158</v>
      </c>
      <c r="G5" s="26"/>
      <c r="H5" s="24" t="s">
        <v>159</v>
      </c>
      <c r="I5" s="24" t="s">
        <v>160</v>
      </c>
    </row>
    <row r="6" spans="1:9" ht="15.75" customHeight="1">
      <c r="A6" s="15"/>
      <c r="B6" s="15"/>
      <c r="C6" s="25"/>
      <c r="D6" s="16"/>
      <c r="E6" s="22" t="s">
        <v>161</v>
      </c>
      <c r="F6" s="23" t="s">
        <v>162</v>
      </c>
      <c r="G6" s="26"/>
      <c r="H6" s="24" t="s">
        <v>163</v>
      </c>
      <c r="I6" s="24" t="s">
        <v>164</v>
      </c>
    </row>
    <row r="7" spans="1:9" ht="15.75" customHeight="1">
      <c r="A7" s="15"/>
      <c r="B7" s="15"/>
      <c r="C7" s="25"/>
      <c r="D7" s="16"/>
      <c r="E7" s="22" t="s">
        <v>165</v>
      </c>
      <c r="F7" s="23" t="s">
        <v>166</v>
      </c>
      <c r="G7" s="26"/>
      <c r="H7" s="24" t="s">
        <v>167</v>
      </c>
      <c r="I7" s="24" t="s">
        <v>168</v>
      </c>
    </row>
    <row r="8" spans="1:9" ht="15.75" customHeight="1">
      <c r="A8" s="15"/>
      <c r="B8" s="15"/>
      <c r="C8" s="25"/>
      <c r="D8" s="16"/>
      <c r="E8" s="22" t="s">
        <v>169</v>
      </c>
      <c r="F8" s="23" t="s">
        <v>170</v>
      </c>
      <c r="G8" s="24" t="s">
        <v>171</v>
      </c>
      <c r="H8" s="24" t="s">
        <v>172</v>
      </c>
      <c r="I8" s="24" t="s">
        <v>173</v>
      </c>
    </row>
    <row r="9" spans="1:9" ht="15.75" customHeight="1">
      <c r="A9" s="15"/>
      <c r="B9" s="15"/>
      <c r="C9" s="27"/>
      <c r="D9" s="28"/>
      <c r="E9" s="29"/>
      <c r="F9" s="30"/>
      <c r="G9" s="31"/>
      <c r="H9" s="31"/>
      <c r="I9" s="31"/>
    </row>
    <row r="10" spans="1:9" ht="15.75" customHeight="1">
      <c r="A10" s="15"/>
      <c r="B10" s="15"/>
      <c r="C10" s="20">
        <v>2</v>
      </c>
      <c r="D10" s="21" t="s">
        <v>123</v>
      </c>
      <c r="E10" s="22" t="s">
        <v>174</v>
      </c>
      <c r="F10" s="15"/>
      <c r="G10" s="26"/>
      <c r="H10" s="24" t="s">
        <v>175</v>
      </c>
      <c r="I10" s="24" t="s">
        <v>176</v>
      </c>
    </row>
    <row r="11" spans="1:9" ht="15.75" customHeight="1">
      <c r="A11" s="15"/>
      <c r="B11" s="15"/>
      <c r="C11" s="25"/>
      <c r="D11" s="16"/>
      <c r="E11" s="22" t="s">
        <v>177</v>
      </c>
      <c r="F11" s="15"/>
      <c r="G11" s="26"/>
      <c r="H11" s="24" t="s">
        <v>178</v>
      </c>
      <c r="I11" s="24" t="s">
        <v>179</v>
      </c>
    </row>
    <row r="12" spans="1:9" ht="15.75" customHeight="1">
      <c r="A12" s="15"/>
      <c r="B12" s="15"/>
      <c r="C12" s="25"/>
      <c r="D12" s="16"/>
      <c r="E12" s="22" t="s">
        <v>180</v>
      </c>
      <c r="F12" s="15"/>
      <c r="G12" s="26"/>
      <c r="H12" s="24" t="s">
        <v>181</v>
      </c>
      <c r="I12" s="24" t="s">
        <v>182</v>
      </c>
    </row>
    <row r="13" spans="1:9" ht="15.75" customHeight="1">
      <c r="A13" s="15"/>
      <c r="B13" s="15"/>
      <c r="C13" s="25"/>
      <c r="D13" s="16"/>
      <c r="E13" s="22" t="s">
        <v>183</v>
      </c>
      <c r="F13" s="15"/>
      <c r="G13" s="26"/>
      <c r="H13" s="24" t="s">
        <v>184</v>
      </c>
      <c r="I13" s="24" t="s">
        <v>185</v>
      </c>
    </row>
    <row r="14" spans="1:9" ht="15.75" customHeight="1">
      <c r="A14" s="15"/>
      <c r="B14" s="15"/>
      <c r="C14" s="25"/>
      <c r="D14" s="16"/>
      <c r="E14" s="32" t="s">
        <v>186</v>
      </c>
      <c r="F14" s="33"/>
      <c r="G14" s="34"/>
      <c r="H14" s="24" t="s">
        <v>187</v>
      </c>
      <c r="I14" s="24" t="s">
        <v>188</v>
      </c>
    </row>
    <row r="15" spans="1:9" ht="15.75" customHeight="1">
      <c r="A15" s="15"/>
      <c r="B15" s="15"/>
      <c r="C15" s="27"/>
      <c r="D15" s="28"/>
      <c r="E15" s="35"/>
      <c r="F15" s="30"/>
      <c r="G15" s="31"/>
      <c r="H15" s="31"/>
      <c r="I15" s="31"/>
    </row>
    <row r="16" spans="1:9" ht="15.75" customHeight="1">
      <c r="A16" s="15"/>
      <c r="B16" s="15"/>
      <c r="C16" s="20">
        <v>3</v>
      </c>
      <c r="D16" s="21" t="s">
        <v>57</v>
      </c>
      <c r="E16" s="22" t="s">
        <v>174</v>
      </c>
      <c r="F16" s="15"/>
      <c r="G16" s="26"/>
      <c r="H16" s="24" t="s">
        <v>189</v>
      </c>
      <c r="I16" s="24" t="s">
        <v>190</v>
      </c>
    </row>
    <row r="17" spans="1:9" ht="15.75" customHeight="1">
      <c r="A17" s="15"/>
      <c r="B17" s="15"/>
      <c r="C17" s="25"/>
      <c r="D17" s="16"/>
      <c r="E17" s="22" t="s">
        <v>177</v>
      </c>
      <c r="F17" s="15"/>
      <c r="G17" s="26"/>
      <c r="H17" s="24" t="s">
        <v>191</v>
      </c>
      <c r="I17" s="24" t="s">
        <v>192</v>
      </c>
    </row>
    <row r="18" spans="1:9" ht="15.75" customHeight="1">
      <c r="A18" s="15"/>
      <c r="B18" s="15"/>
      <c r="C18" s="25"/>
      <c r="D18" s="16"/>
      <c r="E18" s="22" t="s">
        <v>180</v>
      </c>
      <c r="F18" s="15"/>
      <c r="G18" s="26"/>
      <c r="H18" s="24" t="s">
        <v>193</v>
      </c>
      <c r="I18" s="24" t="s">
        <v>194</v>
      </c>
    </row>
    <row r="19" spans="1:9" ht="15.75" customHeight="1">
      <c r="A19" s="15"/>
      <c r="B19" s="15"/>
      <c r="C19" s="25"/>
      <c r="D19" s="16"/>
      <c r="E19" s="22" t="s">
        <v>183</v>
      </c>
      <c r="F19" s="15"/>
      <c r="G19" s="26"/>
      <c r="H19" s="24" t="s">
        <v>195</v>
      </c>
      <c r="I19" s="24" t="s">
        <v>196</v>
      </c>
    </row>
    <row r="20" spans="1:9" ht="15.75" customHeight="1">
      <c r="A20" s="15"/>
      <c r="B20" s="15"/>
      <c r="C20" s="25"/>
      <c r="D20" s="16"/>
      <c r="E20" s="32" t="s">
        <v>186</v>
      </c>
      <c r="F20" s="33"/>
      <c r="G20" s="34"/>
      <c r="H20" s="24" t="s">
        <v>197</v>
      </c>
      <c r="I20" s="24" t="s">
        <v>198</v>
      </c>
    </row>
    <row r="21" spans="1:9" ht="15.75" customHeight="1">
      <c r="A21" s="15"/>
      <c r="B21" s="15"/>
      <c r="C21" s="27"/>
      <c r="D21" s="28"/>
      <c r="E21" s="29"/>
      <c r="F21" s="30"/>
      <c r="G21" s="31"/>
      <c r="H21" s="31"/>
      <c r="I21" s="31"/>
    </row>
    <row r="22" spans="1:9" ht="15.75" customHeight="1">
      <c r="A22" s="15"/>
      <c r="B22" s="15"/>
      <c r="C22" s="20">
        <v>4</v>
      </c>
      <c r="D22" s="21" t="s">
        <v>90</v>
      </c>
      <c r="E22" s="22" t="s">
        <v>174</v>
      </c>
      <c r="F22" s="15"/>
      <c r="G22" s="26"/>
      <c r="H22" s="24" t="s">
        <v>199</v>
      </c>
      <c r="I22" s="24" t="s">
        <v>200</v>
      </c>
    </row>
    <row r="23" spans="1:9" ht="15.75" customHeight="1">
      <c r="A23" s="15"/>
      <c r="B23" s="15"/>
      <c r="C23" s="25"/>
      <c r="D23" s="16"/>
      <c r="E23" s="22" t="s">
        <v>177</v>
      </c>
      <c r="F23" s="15"/>
      <c r="G23" s="26"/>
      <c r="H23" s="24" t="s">
        <v>201</v>
      </c>
      <c r="I23" s="24" t="s">
        <v>202</v>
      </c>
    </row>
    <row r="24" spans="1:9" ht="14.4">
      <c r="A24" s="15"/>
      <c r="B24" s="15"/>
      <c r="C24" s="25"/>
      <c r="D24" s="16"/>
      <c r="E24" s="22" t="s">
        <v>180</v>
      </c>
      <c r="F24" s="15"/>
      <c r="G24" s="26"/>
      <c r="H24" s="24" t="s">
        <v>203</v>
      </c>
      <c r="I24" s="24" t="s">
        <v>204</v>
      </c>
    </row>
    <row r="25" spans="1:9" ht="14.4">
      <c r="A25" s="15"/>
      <c r="B25" s="15"/>
      <c r="C25" s="25"/>
      <c r="D25" s="16"/>
      <c r="E25" s="22" t="s">
        <v>183</v>
      </c>
      <c r="F25" s="15"/>
      <c r="G25" s="26"/>
      <c r="H25" s="24" t="s">
        <v>205</v>
      </c>
      <c r="I25" s="24" t="s">
        <v>206</v>
      </c>
    </row>
    <row r="26" spans="1:9" ht="14.4">
      <c r="A26" s="15"/>
      <c r="B26" s="15"/>
      <c r="C26" s="25"/>
      <c r="D26" s="16"/>
      <c r="E26" s="32" t="s">
        <v>186</v>
      </c>
      <c r="F26" s="33"/>
      <c r="G26" s="34"/>
      <c r="H26" s="24" t="s">
        <v>207</v>
      </c>
      <c r="I26" s="24" t="s">
        <v>208</v>
      </c>
    </row>
    <row r="27" spans="1:9" ht="14.4">
      <c r="A27" s="15"/>
      <c r="B27" s="15"/>
      <c r="C27" s="25"/>
      <c r="D27" s="16"/>
      <c r="E27" s="36"/>
      <c r="F27" s="15"/>
      <c r="G27" s="26"/>
      <c r="H27" s="26"/>
      <c r="I27" s="26"/>
    </row>
    <row r="28" spans="1:9" ht="14.4">
      <c r="A28" s="15"/>
      <c r="B28" s="15"/>
      <c r="C28" s="37">
        <v>5</v>
      </c>
      <c r="D28" s="38" t="s">
        <v>134</v>
      </c>
      <c r="E28" s="39" t="s">
        <v>209</v>
      </c>
      <c r="F28" s="40"/>
      <c r="G28" s="41"/>
      <c r="H28" s="42" t="s">
        <v>210</v>
      </c>
      <c r="I28" s="42" t="s">
        <v>211</v>
      </c>
    </row>
    <row r="29" spans="1:9" ht="14.4">
      <c r="A29" s="15"/>
      <c r="B29" s="15"/>
      <c r="C29" s="25"/>
      <c r="D29" s="16"/>
      <c r="E29" s="22" t="s">
        <v>212</v>
      </c>
      <c r="F29" s="15"/>
      <c r="G29" s="26"/>
      <c r="H29" s="24" t="s">
        <v>213</v>
      </c>
      <c r="I29" s="24" t="s">
        <v>214</v>
      </c>
    </row>
    <row r="30" spans="1:9" ht="14.4">
      <c r="A30" s="15"/>
      <c r="B30" s="15"/>
      <c r="C30" s="25"/>
      <c r="D30" s="16"/>
      <c r="E30" s="22" t="s">
        <v>215</v>
      </c>
      <c r="F30" s="15"/>
      <c r="G30" s="26"/>
      <c r="H30" s="24" t="s">
        <v>216</v>
      </c>
      <c r="I30" s="24" t="s">
        <v>217</v>
      </c>
    </row>
    <row r="31" spans="1:9" ht="14.4">
      <c r="A31" s="15"/>
      <c r="B31" s="15"/>
      <c r="C31" s="25"/>
      <c r="D31" s="16"/>
      <c r="E31" s="22" t="s">
        <v>218</v>
      </c>
      <c r="F31" s="15"/>
      <c r="G31" s="26"/>
      <c r="H31" s="24" t="s">
        <v>219</v>
      </c>
      <c r="I31" s="24" t="s">
        <v>220</v>
      </c>
    </row>
    <row r="32" spans="1:9" ht="14.4">
      <c r="A32" s="15"/>
      <c r="B32" s="15"/>
      <c r="C32" s="25"/>
      <c r="D32" s="16"/>
      <c r="E32" s="22" t="s">
        <v>221</v>
      </c>
      <c r="F32" s="15"/>
      <c r="G32" s="26"/>
      <c r="H32" s="24" t="s">
        <v>222</v>
      </c>
      <c r="I32" s="24" t="s">
        <v>223</v>
      </c>
    </row>
    <row r="33" spans="1:9" ht="14.4">
      <c r="A33" s="15"/>
      <c r="B33" s="15"/>
      <c r="C33" s="27"/>
      <c r="D33" s="28"/>
      <c r="E33" s="29"/>
      <c r="F33" s="30"/>
      <c r="G33" s="31"/>
      <c r="H33" s="31"/>
      <c r="I33" s="31"/>
    </row>
    <row r="34" spans="1:9" ht="14.4">
      <c r="A34" s="15"/>
      <c r="B34" s="15"/>
      <c r="C34" s="20">
        <v>6</v>
      </c>
      <c r="D34" s="21" t="s">
        <v>79</v>
      </c>
      <c r="E34" s="22" t="s">
        <v>224</v>
      </c>
      <c r="F34" s="15"/>
      <c r="G34" s="26"/>
      <c r="H34" s="24" t="s">
        <v>225</v>
      </c>
      <c r="I34" s="24" t="s">
        <v>226</v>
      </c>
    </row>
    <row r="35" spans="1:9" ht="14.4">
      <c r="A35" s="15"/>
      <c r="B35" s="15"/>
      <c r="C35" s="25"/>
      <c r="D35" s="16"/>
      <c r="E35" s="22" t="s">
        <v>227</v>
      </c>
      <c r="F35" s="15"/>
      <c r="G35" s="26"/>
      <c r="H35" s="24" t="s">
        <v>228</v>
      </c>
      <c r="I35" s="24" t="s">
        <v>229</v>
      </c>
    </row>
    <row r="36" spans="1:9" ht="14.4">
      <c r="A36" s="15"/>
      <c r="B36" s="15"/>
      <c r="C36" s="25"/>
      <c r="D36" s="16"/>
      <c r="E36" s="22" t="s">
        <v>230</v>
      </c>
      <c r="F36" s="15"/>
      <c r="G36" s="26"/>
      <c r="H36" s="24" t="s">
        <v>231</v>
      </c>
      <c r="I36" s="24" t="s">
        <v>232</v>
      </c>
    </row>
    <row r="37" spans="1:9" ht="14.4">
      <c r="A37" s="15"/>
      <c r="B37" s="15"/>
      <c r="C37" s="25"/>
      <c r="D37" s="16"/>
      <c r="E37" s="22" t="s">
        <v>233</v>
      </c>
      <c r="F37" s="15"/>
      <c r="G37" s="26"/>
      <c r="H37" s="24" t="s">
        <v>234</v>
      </c>
      <c r="I37" s="24" t="s">
        <v>235</v>
      </c>
    </row>
    <row r="38" spans="1:9" ht="14.4">
      <c r="A38" s="15"/>
      <c r="B38" s="15"/>
      <c r="C38" s="25"/>
      <c r="D38" s="16"/>
      <c r="E38" s="22" t="s">
        <v>236</v>
      </c>
      <c r="F38" s="15"/>
      <c r="G38" s="26"/>
      <c r="H38" s="24" t="s">
        <v>237</v>
      </c>
      <c r="I38" s="24" t="s">
        <v>238</v>
      </c>
    </row>
    <row r="39" spans="1:9" ht="14.4">
      <c r="A39" s="15"/>
      <c r="B39" s="15"/>
      <c r="C39" s="25"/>
      <c r="D39" s="16"/>
      <c r="E39" s="43"/>
      <c r="F39" s="15"/>
      <c r="G39" s="26"/>
      <c r="H39" s="26"/>
      <c r="I39" s="26"/>
    </row>
    <row r="40" spans="1:9" ht="14.4">
      <c r="A40" s="15"/>
      <c r="B40" s="15"/>
      <c r="C40" s="37">
        <v>7</v>
      </c>
      <c r="D40" s="38" t="s">
        <v>101</v>
      </c>
      <c r="E40" s="39" t="s">
        <v>239</v>
      </c>
      <c r="F40" s="40"/>
      <c r="G40" s="41"/>
      <c r="H40" s="42" t="s">
        <v>240</v>
      </c>
      <c r="I40" s="42" t="s">
        <v>241</v>
      </c>
    </row>
    <row r="41" spans="1:9" ht="14.4">
      <c r="A41" s="15"/>
      <c r="B41" s="15"/>
      <c r="C41" s="25"/>
      <c r="D41" s="16"/>
      <c r="E41" s="22" t="s">
        <v>242</v>
      </c>
      <c r="F41" s="15"/>
      <c r="G41" s="26"/>
      <c r="H41" s="24" t="s">
        <v>243</v>
      </c>
      <c r="I41" s="24" t="s">
        <v>244</v>
      </c>
    </row>
    <row r="42" spans="1:9" ht="14.4">
      <c r="A42" s="15"/>
      <c r="B42" s="15"/>
      <c r="C42" s="25"/>
      <c r="D42" s="16"/>
      <c r="E42" s="22" t="s">
        <v>245</v>
      </c>
      <c r="F42" s="15"/>
      <c r="G42" s="26"/>
      <c r="H42" s="24" t="s">
        <v>246</v>
      </c>
      <c r="I42" s="24" t="s">
        <v>247</v>
      </c>
    </row>
    <row r="43" spans="1:9" ht="14.4">
      <c r="A43" s="15"/>
      <c r="B43" s="15"/>
      <c r="C43" s="25"/>
      <c r="D43" s="16"/>
      <c r="E43" s="22" t="s">
        <v>248</v>
      </c>
      <c r="F43" s="15"/>
      <c r="G43" s="26"/>
      <c r="H43" s="24" t="s">
        <v>249</v>
      </c>
      <c r="I43" s="24" t="s">
        <v>250</v>
      </c>
    </row>
    <row r="44" spans="1:9" ht="14.4">
      <c r="A44" s="15"/>
      <c r="B44" s="15"/>
      <c r="C44" s="25"/>
      <c r="D44" s="16"/>
      <c r="E44" s="22" t="s">
        <v>251</v>
      </c>
      <c r="F44" s="15"/>
      <c r="G44" s="26"/>
      <c r="H44" s="24" t="s">
        <v>252</v>
      </c>
      <c r="I44" s="24" t="s">
        <v>253</v>
      </c>
    </row>
    <row r="45" spans="1:9" ht="14.4">
      <c r="A45" s="15"/>
      <c r="B45" s="15"/>
      <c r="C45" s="27"/>
      <c r="D45" s="28"/>
      <c r="E45" s="29"/>
      <c r="F45" s="30"/>
      <c r="G45" s="31"/>
      <c r="H45" s="31"/>
      <c r="I45" s="31"/>
    </row>
    <row r="46" spans="1:9" ht="14.4">
      <c r="A46" s="15"/>
      <c r="B46" s="15"/>
      <c r="C46" s="20">
        <v>8</v>
      </c>
      <c r="D46" s="21" t="s">
        <v>68</v>
      </c>
      <c r="E46" s="22" t="s">
        <v>254</v>
      </c>
      <c r="F46" s="15"/>
      <c r="G46" s="26"/>
      <c r="H46" s="24" t="s">
        <v>255</v>
      </c>
      <c r="I46" s="44">
        <v>10</v>
      </c>
    </row>
    <row r="47" spans="1:9" ht="14.4">
      <c r="A47" s="15"/>
      <c r="B47" s="15"/>
      <c r="C47" s="25"/>
      <c r="D47" s="16"/>
      <c r="E47" s="22" t="s">
        <v>256</v>
      </c>
      <c r="F47" s="15"/>
      <c r="G47" s="26"/>
      <c r="H47" s="24" t="s">
        <v>257</v>
      </c>
      <c r="I47" s="44">
        <v>11</v>
      </c>
    </row>
    <row r="48" spans="1:9" ht="14.4">
      <c r="A48" s="15"/>
      <c r="B48" s="15"/>
      <c r="C48" s="25"/>
      <c r="D48" s="16"/>
      <c r="E48" s="22" t="s">
        <v>258</v>
      </c>
      <c r="F48" s="15"/>
      <c r="G48" s="26"/>
      <c r="H48" s="24" t="s">
        <v>259</v>
      </c>
      <c r="I48" s="44">
        <v>15</v>
      </c>
    </row>
    <row r="49" spans="1:9" ht="14.4">
      <c r="A49" s="15"/>
      <c r="B49" s="15"/>
      <c r="C49" s="25"/>
      <c r="D49" s="16"/>
      <c r="E49" s="22" t="s">
        <v>260</v>
      </c>
      <c r="F49" s="15"/>
      <c r="G49" s="26"/>
      <c r="H49" s="24" t="s">
        <v>261</v>
      </c>
      <c r="I49" s="44">
        <v>9</v>
      </c>
    </row>
    <row r="50" spans="1:9" ht="14.4">
      <c r="A50" s="15"/>
      <c r="B50" s="15"/>
      <c r="C50" s="25"/>
      <c r="D50" s="16"/>
      <c r="E50" s="22" t="s">
        <v>262</v>
      </c>
      <c r="F50" s="15"/>
      <c r="G50" s="26"/>
      <c r="H50" s="24" t="s">
        <v>263</v>
      </c>
      <c r="I50" s="44">
        <v>13</v>
      </c>
    </row>
    <row r="51" spans="1:9" ht="14.4">
      <c r="A51" s="15"/>
      <c r="B51" s="15"/>
      <c r="C51" s="25"/>
      <c r="D51" s="16"/>
      <c r="E51" s="36"/>
      <c r="F51" s="15"/>
      <c r="G51" s="26"/>
      <c r="H51" s="26"/>
      <c r="I51" s="26"/>
    </row>
    <row r="52" spans="1:9" ht="14.4">
      <c r="A52" s="15"/>
      <c r="B52" s="15"/>
      <c r="C52" s="37">
        <v>9</v>
      </c>
      <c r="D52" s="38" t="s">
        <v>6</v>
      </c>
      <c r="E52" s="45" t="s">
        <v>264</v>
      </c>
      <c r="F52" s="40"/>
      <c r="G52" s="41"/>
      <c r="H52" s="42" t="s">
        <v>265</v>
      </c>
      <c r="I52" s="42" t="s">
        <v>266</v>
      </c>
    </row>
    <row r="53" spans="1:9" ht="14.4">
      <c r="A53" s="15"/>
      <c r="B53" s="15"/>
      <c r="C53" s="25"/>
      <c r="D53" s="16"/>
      <c r="E53" s="46" t="s">
        <v>267</v>
      </c>
      <c r="F53" s="15"/>
      <c r="G53" s="26"/>
      <c r="H53" s="24" t="s">
        <v>268</v>
      </c>
      <c r="I53" s="24" t="s">
        <v>269</v>
      </c>
    </row>
    <row r="54" spans="1:9" ht="14.4">
      <c r="A54" s="15"/>
      <c r="B54" s="15"/>
      <c r="C54" s="25"/>
      <c r="D54" s="16"/>
      <c r="E54" s="46" t="s">
        <v>270</v>
      </c>
      <c r="F54" s="15"/>
      <c r="G54" s="26"/>
      <c r="H54" s="24" t="s">
        <v>271</v>
      </c>
      <c r="I54" s="24" t="s">
        <v>272</v>
      </c>
    </row>
    <row r="55" spans="1:9" ht="14.4">
      <c r="A55" s="15"/>
      <c r="B55" s="15"/>
      <c r="C55" s="25"/>
      <c r="D55" s="16"/>
      <c r="E55" s="46" t="s">
        <v>273</v>
      </c>
      <c r="F55" s="15"/>
      <c r="G55" s="26"/>
      <c r="H55" s="24" t="s">
        <v>274</v>
      </c>
      <c r="I55" s="24" t="s">
        <v>275</v>
      </c>
    </row>
    <row r="56" spans="1:9" ht="14.4">
      <c r="A56" s="15"/>
      <c r="B56" s="15"/>
      <c r="C56" s="25"/>
      <c r="D56" s="16"/>
      <c r="E56" s="46" t="s">
        <v>276</v>
      </c>
      <c r="F56" s="15"/>
      <c r="G56" s="26"/>
      <c r="H56" s="24" t="s">
        <v>277</v>
      </c>
      <c r="I56" s="24" t="s">
        <v>278</v>
      </c>
    </row>
    <row r="57" spans="1:9" ht="14.4">
      <c r="A57" s="15"/>
      <c r="B57" s="15"/>
      <c r="C57" s="27"/>
      <c r="D57" s="28"/>
      <c r="E57" s="29"/>
      <c r="F57" s="30"/>
      <c r="G57" s="31"/>
      <c r="H57" s="31"/>
      <c r="I57" s="31"/>
    </row>
    <row r="58" spans="1:9" ht="14.4">
      <c r="A58" s="15"/>
      <c r="B58" s="15"/>
      <c r="C58" s="20">
        <v>10</v>
      </c>
      <c r="D58" s="21" t="s">
        <v>33</v>
      </c>
      <c r="E58" s="22" t="s">
        <v>279</v>
      </c>
      <c r="F58" s="15"/>
      <c r="G58" s="26"/>
      <c r="H58" s="24" t="s">
        <v>280</v>
      </c>
      <c r="I58" s="44">
        <v>12</v>
      </c>
    </row>
    <row r="59" spans="1:9" ht="14.4">
      <c r="A59" s="15"/>
      <c r="B59" s="15"/>
      <c r="C59" s="25"/>
      <c r="D59" s="16"/>
      <c r="E59" s="22" t="s">
        <v>281</v>
      </c>
      <c r="F59" s="15"/>
      <c r="G59" s="26"/>
      <c r="H59" s="24" t="s">
        <v>282</v>
      </c>
      <c r="I59" s="44">
        <v>3</v>
      </c>
    </row>
    <row r="60" spans="1:9" ht="14.4">
      <c r="A60" s="15"/>
      <c r="B60" s="15"/>
      <c r="C60" s="25"/>
      <c r="D60" s="16"/>
      <c r="E60" s="22" t="s">
        <v>283</v>
      </c>
      <c r="F60" s="15"/>
      <c r="G60" s="26"/>
      <c r="H60" s="24" t="s">
        <v>284</v>
      </c>
      <c r="I60" s="44">
        <v>7</v>
      </c>
    </row>
    <row r="61" spans="1:9" ht="14.4">
      <c r="A61" s="15"/>
      <c r="B61" s="15"/>
      <c r="C61" s="25"/>
      <c r="D61" s="16"/>
      <c r="E61" s="22" t="s">
        <v>285</v>
      </c>
      <c r="F61" s="15"/>
      <c r="G61" s="26"/>
      <c r="H61" s="24" t="s">
        <v>286</v>
      </c>
      <c r="I61" s="44">
        <v>13</v>
      </c>
    </row>
    <row r="62" spans="1:9" ht="14.4">
      <c r="A62" s="15"/>
      <c r="B62" s="15"/>
      <c r="C62" s="25"/>
      <c r="D62" s="16"/>
      <c r="E62" s="22" t="s">
        <v>287</v>
      </c>
      <c r="F62" s="15"/>
      <c r="G62" s="26"/>
      <c r="H62" s="24" t="s">
        <v>288</v>
      </c>
      <c r="I62" s="44">
        <v>8</v>
      </c>
    </row>
    <row r="63" spans="1:9" ht="14.4">
      <c r="A63" s="15"/>
      <c r="B63" s="15"/>
      <c r="C63" s="25"/>
      <c r="D63" s="16"/>
      <c r="E63" s="36"/>
      <c r="F63" s="15"/>
      <c r="G63" s="26"/>
      <c r="H63" s="26"/>
      <c r="I63" s="26"/>
    </row>
    <row r="64" spans="1:9" ht="14.4">
      <c r="A64" s="15"/>
      <c r="B64" s="15"/>
      <c r="C64" s="37">
        <v>11</v>
      </c>
      <c r="D64" s="38" t="s">
        <v>44</v>
      </c>
      <c r="E64" s="39" t="s">
        <v>289</v>
      </c>
      <c r="F64" s="40"/>
      <c r="G64" s="41"/>
      <c r="H64" s="42" t="s">
        <v>290</v>
      </c>
      <c r="I64" s="47" t="b">
        <v>1</v>
      </c>
    </row>
    <row r="65" spans="1:9" ht="14.4">
      <c r="A65" s="15"/>
      <c r="B65" s="15"/>
      <c r="C65" s="25"/>
      <c r="D65" s="16"/>
      <c r="E65" s="22" t="s">
        <v>291</v>
      </c>
      <c r="F65" s="15"/>
      <c r="G65" s="26"/>
      <c r="H65" s="24" t="s">
        <v>292</v>
      </c>
      <c r="I65" s="48" t="b">
        <v>0</v>
      </c>
    </row>
    <row r="66" spans="1:9" ht="14.4">
      <c r="A66" s="15"/>
      <c r="B66" s="15"/>
      <c r="C66" s="25"/>
      <c r="D66" s="16"/>
      <c r="E66" s="22" t="s">
        <v>293</v>
      </c>
      <c r="F66" s="15"/>
      <c r="G66" s="26"/>
      <c r="H66" s="24" t="s">
        <v>294</v>
      </c>
      <c r="I66" s="48" t="b">
        <v>1</v>
      </c>
    </row>
    <row r="67" spans="1:9" ht="14.4">
      <c r="A67" s="15"/>
      <c r="B67" s="15"/>
      <c r="C67" s="25"/>
      <c r="D67" s="16"/>
      <c r="E67" s="22" t="s">
        <v>295</v>
      </c>
      <c r="F67" s="15"/>
      <c r="G67" s="26"/>
      <c r="H67" s="24" t="s">
        <v>296</v>
      </c>
      <c r="I67" s="48" t="b">
        <v>0</v>
      </c>
    </row>
    <row r="68" spans="1:9" ht="14.4">
      <c r="A68" s="15"/>
      <c r="B68" s="15"/>
      <c r="C68" s="25"/>
      <c r="D68" s="16"/>
      <c r="E68" s="22" t="s">
        <v>297</v>
      </c>
      <c r="F68" s="15"/>
      <c r="G68" s="26"/>
      <c r="H68" s="24" t="s">
        <v>298</v>
      </c>
      <c r="I68" s="48" t="b">
        <v>1</v>
      </c>
    </row>
    <row r="69" spans="1:9" ht="14.4">
      <c r="A69" s="15"/>
      <c r="B69" s="15"/>
      <c r="C69" s="27"/>
      <c r="D69" s="28"/>
      <c r="E69" s="29"/>
      <c r="F69" s="30"/>
      <c r="G69" s="31"/>
      <c r="H69" s="31"/>
      <c r="I69" s="31"/>
    </row>
    <row r="70" spans="1:9" ht="14.4">
      <c r="A70" s="15"/>
      <c r="B70" s="15"/>
      <c r="C70" s="20">
        <v>12</v>
      </c>
      <c r="D70" s="21" t="s">
        <v>112</v>
      </c>
      <c r="E70" s="22" t="s">
        <v>299</v>
      </c>
      <c r="F70" s="23" t="s">
        <v>300</v>
      </c>
      <c r="G70" s="26"/>
      <c r="H70" s="24" t="s">
        <v>301</v>
      </c>
      <c r="I70" s="24" t="s">
        <v>302</v>
      </c>
    </row>
    <row r="71" spans="1:9" ht="14.4">
      <c r="A71" s="15"/>
      <c r="B71" s="15"/>
      <c r="C71" s="25"/>
      <c r="D71" s="16"/>
      <c r="E71" s="22" t="s">
        <v>303</v>
      </c>
      <c r="F71" s="23" t="s">
        <v>304</v>
      </c>
      <c r="G71" s="26"/>
      <c r="H71" s="24" t="s">
        <v>305</v>
      </c>
      <c r="I71" s="24" t="s">
        <v>306</v>
      </c>
    </row>
    <row r="72" spans="1:9" ht="14.4">
      <c r="A72" s="15"/>
      <c r="B72" s="15"/>
      <c r="C72" s="25"/>
      <c r="D72" s="16"/>
      <c r="E72" s="22" t="s">
        <v>307</v>
      </c>
      <c r="F72" s="23" t="s">
        <v>308</v>
      </c>
      <c r="G72" s="26"/>
      <c r="H72" s="24" t="s">
        <v>309</v>
      </c>
      <c r="I72" s="24" t="s">
        <v>310</v>
      </c>
    </row>
    <row r="73" spans="1:9" ht="14.4">
      <c r="A73" s="15"/>
      <c r="B73" s="15"/>
      <c r="C73" s="25"/>
      <c r="D73" s="16"/>
      <c r="E73" s="22" t="s">
        <v>311</v>
      </c>
      <c r="F73" s="23" t="s">
        <v>312</v>
      </c>
      <c r="G73" s="26"/>
      <c r="H73" s="24" t="s">
        <v>313</v>
      </c>
      <c r="I73" s="24" t="s">
        <v>314</v>
      </c>
    </row>
    <row r="74" spans="1:9" ht="14.4">
      <c r="A74" s="15"/>
      <c r="B74" s="15"/>
      <c r="C74" s="25"/>
      <c r="D74" s="16"/>
      <c r="E74" s="22" t="s">
        <v>315</v>
      </c>
      <c r="F74" s="23" t="s">
        <v>316</v>
      </c>
      <c r="G74" s="26"/>
      <c r="H74" s="24" t="s">
        <v>317</v>
      </c>
      <c r="I74" s="24" t="s">
        <v>318</v>
      </c>
    </row>
    <row r="75" spans="1:9" ht="14.4">
      <c r="A75" s="15"/>
      <c r="B75" s="15"/>
      <c r="C75" s="27"/>
      <c r="D75" s="28"/>
      <c r="E75" s="29"/>
      <c r="F75" s="30"/>
      <c r="G75" s="31"/>
      <c r="H75" s="31"/>
      <c r="I75" s="31"/>
    </row>
  </sheetData>
  <mergeCells count="1">
    <mergeCell ref="E3:G3"/>
  </mergeCells>
  <hyperlinks>
    <hyperlink ref="C3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G72"/>
  <sheetViews>
    <sheetView workbookViewId="0"/>
  </sheetViews>
  <sheetFormatPr defaultColWidth="12.6640625" defaultRowHeight="15.75" customHeight="1"/>
  <cols>
    <col min="2" max="2" width="14.6640625" customWidth="1"/>
    <col min="3" max="3" width="21.88671875" customWidth="1"/>
    <col min="4" max="4" width="18.109375" customWidth="1"/>
    <col min="5" max="5" width="14.6640625" customWidth="1"/>
    <col min="6" max="6" width="23.88671875" customWidth="1"/>
    <col min="7" max="7" width="25.109375" customWidth="1"/>
  </cols>
  <sheetData>
    <row r="2" spans="2:7">
      <c r="B2" s="1" t="s">
        <v>319</v>
      </c>
    </row>
    <row r="4" spans="2:7">
      <c r="B4" s="49" t="s">
        <v>320</v>
      </c>
      <c r="C4" s="49" t="s">
        <v>321</v>
      </c>
      <c r="D4" s="49" t="s">
        <v>148</v>
      </c>
      <c r="E4" s="49"/>
      <c r="F4" s="49" t="s">
        <v>149</v>
      </c>
      <c r="G4" s="49" t="s">
        <v>150</v>
      </c>
    </row>
    <row r="5" spans="2:7">
      <c r="B5" s="50"/>
      <c r="C5" s="50"/>
      <c r="D5" s="50"/>
      <c r="E5" s="50"/>
      <c r="F5" s="50"/>
      <c r="G5" s="50"/>
    </row>
    <row r="6" spans="2:7">
      <c r="B6" s="51" t="s">
        <v>322</v>
      </c>
      <c r="C6" s="52" t="s">
        <v>6</v>
      </c>
      <c r="D6" s="51" t="s">
        <v>323</v>
      </c>
      <c r="E6" s="51"/>
      <c r="F6" s="51" t="s">
        <v>324</v>
      </c>
      <c r="G6" s="50" t="str">
        <f t="shared" ref="G6:G10" si="0">CLEAN(D6)</f>
        <v>Milk Bread</v>
      </c>
    </row>
    <row r="7" spans="2:7">
      <c r="B7" s="50"/>
      <c r="C7" s="50"/>
      <c r="D7" s="51" t="s">
        <v>325</v>
      </c>
      <c r="E7" s="51"/>
      <c r="F7" s="51" t="s">
        <v>326</v>
      </c>
      <c r="G7" s="50" t="str">
        <f t="shared" si="0"/>
        <v>order#123</v>
      </c>
    </row>
    <row r="8" spans="2:7">
      <c r="B8" s="50"/>
      <c r="C8" s="50"/>
      <c r="D8" s="51" t="s">
        <v>327</v>
      </c>
      <c r="E8" s="51"/>
      <c r="F8" s="51" t="s">
        <v>328</v>
      </c>
      <c r="G8" s="50" t="str">
        <f t="shared" si="0"/>
        <v>cafe&amp;pizza</v>
      </c>
    </row>
    <row r="9" spans="2:7">
      <c r="B9" s="50"/>
      <c r="C9" s="50"/>
      <c r="D9" s="51" t="s">
        <v>329</v>
      </c>
      <c r="E9" s="51"/>
      <c r="F9" s="51" t="s">
        <v>330</v>
      </c>
      <c r="G9" s="50" t="str">
        <f t="shared" si="0"/>
        <v>charger    -plug</v>
      </c>
    </row>
    <row r="10" spans="2:7">
      <c r="B10" s="50"/>
      <c r="C10" s="50"/>
      <c r="D10" s="51" t="s">
        <v>331</v>
      </c>
      <c r="E10" s="51"/>
      <c r="F10" s="51" t="s">
        <v>332</v>
      </c>
      <c r="G10" s="50" t="str">
        <f t="shared" si="0"/>
        <v>AI - ML</v>
      </c>
    </row>
    <row r="11" spans="2:7">
      <c r="B11" s="50"/>
      <c r="C11" s="50"/>
      <c r="D11" s="50"/>
      <c r="E11" s="50"/>
      <c r="F11" s="50"/>
      <c r="G11" s="50"/>
    </row>
    <row r="12" spans="2:7">
      <c r="B12" s="50"/>
      <c r="C12" s="50"/>
      <c r="D12" s="50"/>
      <c r="E12" s="50"/>
      <c r="F12" s="50"/>
      <c r="G12" s="50"/>
    </row>
    <row r="13" spans="2:7">
      <c r="B13" s="51" t="s">
        <v>333</v>
      </c>
      <c r="C13" s="52" t="s">
        <v>17</v>
      </c>
      <c r="D13" s="51" t="s">
        <v>334</v>
      </c>
      <c r="E13" s="51" t="s">
        <v>335</v>
      </c>
      <c r="F13" s="51" t="s">
        <v>336</v>
      </c>
      <c r="G13" s="50" t="e">
        <f t="shared" ref="G13:G17" ca="1" si="1">_xludf.CONCAT(D13,E13)</f>
        <v>#NAME?</v>
      </c>
    </row>
    <row r="14" spans="2:7">
      <c r="B14" s="50"/>
      <c r="C14" s="50"/>
      <c r="D14" s="51" t="s">
        <v>337</v>
      </c>
      <c r="E14" s="51" t="s">
        <v>338</v>
      </c>
      <c r="F14" s="51" t="s">
        <v>339</v>
      </c>
      <c r="G14" s="50" t="e">
        <f t="shared" ca="1" si="1"/>
        <v>#NAME?</v>
      </c>
    </row>
    <row r="15" spans="2:7">
      <c r="B15" s="50"/>
      <c r="C15" s="50"/>
      <c r="D15" s="51" t="s">
        <v>340</v>
      </c>
      <c r="E15" s="51" t="s">
        <v>341</v>
      </c>
      <c r="F15" s="51" t="s">
        <v>342</v>
      </c>
      <c r="G15" s="50" t="e">
        <f t="shared" ca="1" si="1"/>
        <v>#NAME?</v>
      </c>
    </row>
    <row r="16" spans="2:7">
      <c r="B16" s="50"/>
      <c r="C16" s="50"/>
      <c r="D16" s="51" t="s">
        <v>343</v>
      </c>
      <c r="E16" s="51" t="s">
        <v>344</v>
      </c>
      <c r="F16" s="51" t="s">
        <v>345</v>
      </c>
      <c r="G16" s="50" t="e">
        <f t="shared" ca="1" si="1"/>
        <v>#NAME?</v>
      </c>
    </row>
    <row r="17" spans="2:7">
      <c r="B17" s="50"/>
      <c r="C17" s="50"/>
      <c r="D17" s="51" t="s">
        <v>346</v>
      </c>
      <c r="E17" s="51" t="s">
        <v>347</v>
      </c>
      <c r="F17" s="51" t="s">
        <v>348</v>
      </c>
      <c r="G17" s="50" t="e">
        <f t="shared" ca="1" si="1"/>
        <v>#NAME?</v>
      </c>
    </row>
    <row r="18" spans="2:7">
      <c r="B18" s="50"/>
      <c r="C18" s="50"/>
      <c r="D18" s="50"/>
      <c r="E18" s="50"/>
      <c r="F18" s="50"/>
      <c r="G18" s="50"/>
    </row>
    <row r="19" spans="2:7">
      <c r="B19" s="51" t="s">
        <v>349</v>
      </c>
      <c r="C19" s="52" t="s">
        <v>44</v>
      </c>
      <c r="D19" s="51" t="s">
        <v>157</v>
      </c>
      <c r="E19" s="51" t="s">
        <v>350</v>
      </c>
      <c r="F19" s="51" t="s">
        <v>351</v>
      </c>
      <c r="G19" s="50" t="b">
        <f t="shared" ref="G19:G23" si="2">EXACT(D19,E19)</f>
        <v>0</v>
      </c>
    </row>
    <row r="20" spans="2:7">
      <c r="B20" s="50"/>
      <c r="C20" s="50"/>
      <c r="D20" s="51" t="s">
        <v>3</v>
      </c>
      <c r="E20" s="51" t="s">
        <v>3</v>
      </c>
      <c r="F20" s="51" t="s">
        <v>352</v>
      </c>
      <c r="G20" s="50" t="b">
        <f t="shared" si="2"/>
        <v>1</v>
      </c>
    </row>
    <row r="21" spans="2:7">
      <c r="B21" s="50"/>
      <c r="C21" s="50"/>
      <c r="D21" s="51" t="s">
        <v>353</v>
      </c>
      <c r="E21" s="51" t="s">
        <v>354</v>
      </c>
      <c r="F21" s="51" t="s">
        <v>355</v>
      </c>
      <c r="G21" s="50" t="b">
        <f t="shared" si="2"/>
        <v>0</v>
      </c>
    </row>
    <row r="22" spans="2:7">
      <c r="B22" s="50"/>
      <c r="C22" s="50"/>
      <c r="D22" s="51" t="s">
        <v>356</v>
      </c>
      <c r="E22" s="51" t="s">
        <v>357</v>
      </c>
      <c r="F22" s="51" t="s">
        <v>358</v>
      </c>
      <c r="G22" s="50" t="b">
        <f t="shared" si="2"/>
        <v>0</v>
      </c>
    </row>
    <row r="23" spans="2:7">
      <c r="B23" s="50"/>
      <c r="C23" s="50"/>
      <c r="D23" s="51" t="s">
        <v>359</v>
      </c>
      <c r="E23" s="51" t="s">
        <v>359</v>
      </c>
      <c r="F23" s="51" t="s">
        <v>360</v>
      </c>
      <c r="G23" s="50" t="b">
        <f t="shared" si="2"/>
        <v>1</v>
      </c>
    </row>
    <row r="24" spans="2:7">
      <c r="B24" s="50"/>
      <c r="C24" s="50"/>
      <c r="D24" s="50"/>
      <c r="E24" s="50"/>
      <c r="F24" s="50"/>
      <c r="G24" s="50"/>
    </row>
    <row r="25" spans="2:7">
      <c r="B25" s="51" t="s">
        <v>361</v>
      </c>
      <c r="C25" s="52" t="s">
        <v>33</v>
      </c>
      <c r="D25" s="51" t="s">
        <v>362</v>
      </c>
      <c r="E25" s="50"/>
      <c r="F25" s="51" t="s">
        <v>363</v>
      </c>
      <c r="G25" s="50">
        <f>FIND("N",D25)</f>
        <v>3</v>
      </c>
    </row>
    <row r="26" spans="2:7">
      <c r="B26" s="50"/>
      <c r="C26" s="50"/>
      <c r="D26" s="51" t="s">
        <v>364</v>
      </c>
      <c r="E26" s="50"/>
      <c r="F26" s="51" t="s">
        <v>365</v>
      </c>
      <c r="G26" s="50">
        <f>FIND("D",D26)</f>
        <v>4</v>
      </c>
    </row>
    <row r="27" spans="2:7">
      <c r="B27" s="50"/>
      <c r="C27" s="50"/>
      <c r="D27" s="51" t="s">
        <v>223</v>
      </c>
      <c r="E27" s="50"/>
      <c r="F27" s="51" t="s">
        <v>366</v>
      </c>
      <c r="G27" s="50">
        <f>FIND("N",D27)</f>
        <v>5</v>
      </c>
    </row>
    <row r="28" spans="2:7">
      <c r="B28" s="50"/>
      <c r="C28" s="50"/>
      <c r="D28" s="51" t="s">
        <v>367</v>
      </c>
      <c r="E28" s="50"/>
      <c r="F28" s="51" t="s">
        <v>368</v>
      </c>
      <c r="G28" s="50">
        <f>FIND("K",D28)</f>
        <v>7</v>
      </c>
    </row>
    <row r="29" spans="2:7">
      <c r="B29" s="50"/>
      <c r="C29" s="50"/>
      <c r="D29" s="51" t="s">
        <v>211</v>
      </c>
      <c r="E29" s="50"/>
      <c r="F29" s="51" t="s">
        <v>369</v>
      </c>
      <c r="G29" s="50">
        <f>FIND("I",D29)</f>
        <v>1</v>
      </c>
    </row>
    <row r="30" spans="2:7">
      <c r="B30" s="50"/>
      <c r="C30" s="50"/>
      <c r="D30" s="50"/>
      <c r="E30" s="50"/>
      <c r="F30" s="50"/>
      <c r="G30" s="50"/>
    </row>
    <row r="31" spans="2:7">
      <c r="B31" s="51" t="s">
        <v>370</v>
      </c>
      <c r="C31" s="52" t="s">
        <v>57</v>
      </c>
      <c r="D31" s="51" t="s">
        <v>371</v>
      </c>
      <c r="E31" s="50"/>
      <c r="F31" s="51" t="s">
        <v>372</v>
      </c>
      <c r="G31" s="50" t="str">
        <f>LEFT(D31,4)</f>
        <v>Stud</v>
      </c>
    </row>
    <row r="32" spans="2:7">
      <c r="B32" s="50"/>
      <c r="C32" s="50"/>
      <c r="D32" s="51" t="s">
        <v>373</v>
      </c>
      <c r="E32" s="50"/>
      <c r="F32" s="51" t="s">
        <v>374</v>
      </c>
      <c r="G32" s="50" t="str">
        <f>LEFT(D32,3)</f>
        <v>Tea</v>
      </c>
    </row>
    <row r="33" spans="2:7">
      <c r="B33" s="50"/>
      <c r="C33" s="50"/>
      <c r="D33" s="51" t="s">
        <v>375</v>
      </c>
      <c r="E33" s="50"/>
      <c r="F33" s="51" t="s">
        <v>376</v>
      </c>
      <c r="G33" s="50" t="str">
        <f>LEFT(D33,5)</f>
        <v>Libra</v>
      </c>
    </row>
    <row r="34" spans="2:7">
      <c r="B34" s="50"/>
      <c r="C34" s="50"/>
      <c r="D34" s="51" t="s">
        <v>377</v>
      </c>
      <c r="E34" s="50"/>
      <c r="F34" s="51" t="s">
        <v>378</v>
      </c>
      <c r="G34" s="50" t="str">
        <f>LEFT(D34,7)</f>
        <v>College</v>
      </c>
    </row>
    <row r="35" spans="2:7">
      <c r="B35" s="50"/>
      <c r="C35" s="50"/>
      <c r="D35" s="51" t="s">
        <v>379</v>
      </c>
      <c r="E35" s="50"/>
      <c r="F35" s="51" t="s">
        <v>380</v>
      </c>
      <c r="G35" s="50" t="str">
        <f>LEFT(D35,5)</f>
        <v>Class</v>
      </c>
    </row>
    <row r="36" spans="2:7">
      <c r="B36" s="50"/>
      <c r="C36" s="50"/>
      <c r="D36" s="50"/>
      <c r="E36" s="50"/>
      <c r="F36" s="50"/>
      <c r="G36" s="50"/>
    </row>
    <row r="37" spans="2:7">
      <c r="B37" s="51" t="s">
        <v>381</v>
      </c>
      <c r="C37" s="52" t="s">
        <v>123</v>
      </c>
      <c r="D37" s="51" t="s">
        <v>382</v>
      </c>
      <c r="E37" s="50"/>
      <c r="F37" s="51" t="s">
        <v>383</v>
      </c>
      <c r="G37" s="50" t="str">
        <f>RIGHT(D37,9)</f>
        <v>structure</v>
      </c>
    </row>
    <row r="38" spans="2:7">
      <c r="B38" s="50"/>
      <c r="C38" s="50"/>
      <c r="D38" s="51" t="s">
        <v>384</v>
      </c>
      <c r="E38" s="50"/>
      <c r="F38" s="51" t="s">
        <v>385</v>
      </c>
      <c r="G38" s="50" t="str">
        <f>RIGHT(D38,4)</f>
        <v>stem</v>
      </c>
    </row>
    <row r="39" spans="2:7">
      <c r="B39" s="50"/>
      <c r="C39" s="50"/>
      <c r="D39" s="51" t="s">
        <v>386</v>
      </c>
      <c r="E39" s="50"/>
      <c r="F39" s="51" t="s">
        <v>387</v>
      </c>
      <c r="G39" s="50" t="str">
        <f>RIGHT(D39,9)</f>
        <v>computing</v>
      </c>
    </row>
    <row r="40" spans="2:7">
      <c r="B40" s="50"/>
      <c r="C40" s="50"/>
      <c r="D40" s="51" t="s">
        <v>388</v>
      </c>
      <c r="E40" s="50"/>
      <c r="F40" s="51" t="s">
        <v>389</v>
      </c>
      <c r="G40" s="50" t="str">
        <f>RIGHT(D40,15)</f>
        <v>al intelligence</v>
      </c>
    </row>
    <row r="41" spans="2:7">
      <c r="B41" s="50"/>
      <c r="C41" s="50"/>
      <c r="D41" s="51" t="s">
        <v>390</v>
      </c>
      <c r="E41" s="50"/>
      <c r="F41" s="51" t="s">
        <v>391</v>
      </c>
      <c r="G41" s="50" t="str">
        <f>RIGHT(D41,7)</f>
        <v>network</v>
      </c>
    </row>
    <row r="42" spans="2:7">
      <c r="B42" s="50"/>
      <c r="C42" s="50"/>
      <c r="D42" s="50"/>
      <c r="E42" s="50"/>
      <c r="F42" s="50"/>
      <c r="G42" s="50"/>
    </row>
    <row r="43" spans="2:7">
      <c r="B43" s="51" t="s">
        <v>392</v>
      </c>
      <c r="C43" s="52" t="s">
        <v>90</v>
      </c>
      <c r="D43" s="51" t="s">
        <v>393</v>
      </c>
      <c r="E43" s="50"/>
      <c r="F43" s="51" t="s">
        <v>394</v>
      </c>
      <c r="G43" s="50" t="str">
        <f>MID(D43,3,8)</f>
        <v>ephant</v>
      </c>
    </row>
    <row r="44" spans="2:7">
      <c r="B44" s="50"/>
      <c r="C44" s="50"/>
      <c r="D44" s="51" t="s">
        <v>395</v>
      </c>
      <c r="E44" s="50"/>
      <c r="F44" s="51" t="s">
        <v>396</v>
      </c>
      <c r="G44" s="50" t="str">
        <f>MID(D44,2,5)</f>
        <v>iger</v>
      </c>
    </row>
    <row r="45" spans="2:7">
      <c r="B45" s="50"/>
      <c r="C45" s="50"/>
      <c r="D45" s="51" t="s">
        <v>397</v>
      </c>
      <c r="E45" s="50"/>
      <c r="F45" s="51" t="s">
        <v>398</v>
      </c>
      <c r="G45" s="50" t="str">
        <f>MID(D45,3,6)</f>
        <v>raffe</v>
      </c>
    </row>
    <row r="46" spans="2:7">
      <c r="B46" s="50"/>
      <c r="C46" s="50"/>
      <c r="D46" s="51" t="s">
        <v>399</v>
      </c>
      <c r="E46" s="50"/>
      <c r="F46" s="51" t="s">
        <v>400</v>
      </c>
      <c r="G46" s="50" t="str">
        <f>MID(D46,4,7)</f>
        <v>phin</v>
      </c>
    </row>
    <row r="47" spans="2:7">
      <c r="B47" s="50"/>
      <c r="C47" s="50"/>
      <c r="D47" s="51" t="s">
        <v>401</v>
      </c>
      <c r="E47" s="50"/>
      <c r="F47" s="51" t="s">
        <v>402</v>
      </c>
      <c r="G47" s="50" t="str">
        <f>MID(D47,1,7)</f>
        <v>Penguin</v>
      </c>
    </row>
    <row r="48" spans="2:7">
      <c r="B48" s="50"/>
      <c r="C48" s="50"/>
      <c r="D48" s="50"/>
      <c r="E48" s="50"/>
      <c r="F48" s="50"/>
      <c r="G48" s="50"/>
    </row>
    <row r="49" spans="2:7">
      <c r="B49" s="51" t="s">
        <v>403</v>
      </c>
      <c r="C49" s="53" t="s">
        <v>79</v>
      </c>
      <c r="D49" s="51" t="s">
        <v>404</v>
      </c>
      <c r="E49" s="50"/>
      <c r="F49" s="50"/>
      <c r="G49" s="50" t="str">
        <f t="shared" ref="G49:G53" si="3">LOWER(D49)</f>
        <v>shah rukh khan</v>
      </c>
    </row>
    <row r="50" spans="2:7">
      <c r="B50" s="50"/>
      <c r="C50" s="50"/>
      <c r="D50" s="51" t="s">
        <v>405</v>
      </c>
      <c r="E50" s="50"/>
      <c r="F50" s="50"/>
      <c r="G50" s="50" t="str">
        <f t="shared" si="3"/>
        <v>leonardo dicaprio</v>
      </c>
    </row>
    <row r="51" spans="2:7">
      <c r="B51" s="50"/>
      <c r="C51" s="50"/>
      <c r="D51" s="51" t="s">
        <v>406</v>
      </c>
      <c r="E51" s="50"/>
      <c r="F51" s="50"/>
      <c r="G51" s="50" t="str">
        <f t="shared" si="3"/>
        <v xml:space="preserve"> allu arjun</v>
      </c>
    </row>
    <row r="52" spans="2:7">
      <c r="B52" s="50"/>
      <c r="C52" s="50"/>
      <c r="D52" s="51" t="s">
        <v>407</v>
      </c>
      <c r="E52" s="50"/>
      <c r="F52" s="50"/>
      <c r="G52" s="50" t="str">
        <f t="shared" si="3"/>
        <v xml:space="preserve"> chen zheyuan</v>
      </c>
    </row>
    <row r="53" spans="2:7">
      <c r="B53" s="50"/>
      <c r="C53" s="50"/>
      <c r="D53" s="51" t="s">
        <v>408</v>
      </c>
      <c r="E53" s="50"/>
      <c r="F53" s="50"/>
      <c r="G53" s="50" t="str">
        <f t="shared" si="3"/>
        <v>bilal abbas</v>
      </c>
    </row>
    <row r="54" spans="2:7">
      <c r="B54" s="50"/>
      <c r="C54" s="50"/>
      <c r="D54" s="50"/>
      <c r="E54" s="50"/>
      <c r="F54" s="50"/>
      <c r="G54" s="50"/>
    </row>
    <row r="55" spans="2:7">
      <c r="B55" s="51" t="s">
        <v>409</v>
      </c>
      <c r="C55" s="52" t="s">
        <v>134</v>
      </c>
      <c r="D55" s="51" t="s">
        <v>410</v>
      </c>
      <c r="E55" s="50"/>
      <c r="F55" s="51" t="s">
        <v>411</v>
      </c>
      <c r="G55" s="50" t="str">
        <f t="shared" ref="G55:G59" si="4">UPPER(D55)</f>
        <v>ALIA BHATT</v>
      </c>
    </row>
    <row r="56" spans="2:7">
      <c r="B56" s="50"/>
      <c r="C56" s="50"/>
      <c r="D56" s="51" t="s">
        <v>412</v>
      </c>
      <c r="E56" s="50"/>
      <c r="F56" s="51" t="s">
        <v>413</v>
      </c>
      <c r="G56" s="50" t="str">
        <f t="shared" si="4"/>
        <v>SCARLETT JOHANSSON</v>
      </c>
    </row>
    <row r="57" spans="2:7">
      <c r="B57" s="50"/>
      <c r="C57" s="50"/>
      <c r="D57" s="51" t="s">
        <v>414</v>
      </c>
      <c r="E57" s="50"/>
      <c r="F57" s="51" t="s">
        <v>415</v>
      </c>
      <c r="G57" s="50" t="str">
        <f t="shared" si="4"/>
        <v>SAMANTHA PRABHU</v>
      </c>
    </row>
    <row r="58" spans="2:7">
      <c r="B58" s="50"/>
      <c r="C58" s="50"/>
      <c r="D58" s="51" t="s">
        <v>416</v>
      </c>
      <c r="E58" s="50"/>
      <c r="F58" s="51" t="s">
        <v>417</v>
      </c>
      <c r="G58" s="50" t="str">
        <f t="shared" si="4"/>
        <v>ZHAO LUSI</v>
      </c>
    </row>
    <row r="59" spans="2:7">
      <c r="B59" s="50"/>
      <c r="C59" s="50"/>
      <c r="D59" s="51" t="s">
        <v>418</v>
      </c>
      <c r="E59" s="50"/>
      <c r="F59" s="51" t="s">
        <v>419</v>
      </c>
      <c r="G59" s="50" t="str">
        <f t="shared" si="4"/>
        <v>HANIA AMIR</v>
      </c>
    </row>
    <row r="60" spans="2:7">
      <c r="B60" s="50"/>
      <c r="C60" s="50"/>
      <c r="D60" s="50"/>
      <c r="E60" s="50"/>
      <c r="F60" s="50"/>
      <c r="G60" s="50"/>
    </row>
    <row r="61" spans="2:7">
      <c r="B61" s="51" t="s">
        <v>420</v>
      </c>
      <c r="C61" s="52" t="s">
        <v>68</v>
      </c>
      <c r="D61" s="51" t="s">
        <v>421</v>
      </c>
      <c r="E61" s="50"/>
      <c r="F61" s="51" t="s">
        <v>422</v>
      </c>
      <c r="G61" s="50">
        <f t="shared" ref="G61:G65" si="5">LEN(D61)</f>
        <v>11</v>
      </c>
    </row>
    <row r="62" spans="2:7">
      <c r="B62" s="50"/>
      <c r="C62" s="50"/>
      <c r="D62" s="51" t="s">
        <v>423</v>
      </c>
      <c r="E62" s="50"/>
      <c r="F62" s="51" t="s">
        <v>424</v>
      </c>
      <c r="G62" s="50">
        <f t="shared" si="5"/>
        <v>10</v>
      </c>
    </row>
    <row r="63" spans="2:7">
      <c r="B63" s="50"/>
      <c r="C63" s="50"/>
      <c r="D63" s="51" t="s">
        <v>425</v>
      </c>
      <c r="E63" s="50"/>
      <c r="F63" s="51" t="s">
        <v>426</v>
      </c>
      <c r="G63" s="50">
        <f t="shared" si="5"/>
        <v>8</v>
      </c>
    </row>
    <row r="64" spans="2:7">
      <c r="B64" s="50"/>
      <c r="C64" s="50"/>
      <c r="D64" s="51" t="s">
        <v>427</v>
      </c>
      <c r="E64" s="50"/>
      <c r="F64" s="51" t="s">
        <v>428</v>
      </c>
      <c r="G64" s="50">
        <f t="shared" si="5"/>
        <v>11</v>
      </c>
    </row>
    <row r="65" spans="2:7">
      <c r="B65" s="50"/>
      <c r="C65" s="50"/>
      <c r="D65" s="51" t="s">
        <v>429</v>
      </c>
      <c r="E65" s="50"/>
      <c r="F65" s="51" t="s">
        <v>430</v>
      </c>
      <c r="G65" s="50">
        <f t="shared" si="5"/>
        <v>10</v>
      </c>
    </row>
    <row r="66" spans="2:7">
      <c r="B66" s="50"/>
      <c r="C66" s="50"/>
      <c r="D66" s="50"/>
      <c r="E66" s="50"/>
      <c r="F66" s="50"/>
      <c r="G66" s="50"/>
    </row>
    <row r="67" spans="2:7">
      <c r="B67" s="51" t="s">
        <v>431</v>
      </c>
      <c r="C67" s="52" t="s">
        <v>112</v>
      </c>
      <c r="D67" s="51" t="s">
        <v>432</v>
      </c>
      <c r="E67" s="50"/>
      <c r="F67" s="51" t="s">
        <v>433</v>
      </c>
      <c r="G67" s="50" t="str">
        <f>REPLACE(D67,7,12,"shi")</f>
        <v>Indirashi</v>
      </c>
    </row>
    <row r="68" spans="2:7">
      <c r="B68" s="50"/>
      <c r="C68" s="50"/>
      <c r="D68" s="51" t="s">
        <v>434</v>
      </c>
      <c r="E68" s="50"/>
      <c r="F68" s="51" t="s">
        <v>435</v>
      </c>
      <c r="G68" s="50" t="str">
        <f>REPLACE(D68,6,12,"lal")</f>
        <v>Jawahlal</v>
      </c>
    </row>
    <row r="69" spans="2:7">
      <c r="B69" s="50"/>
      <c r="C69" s="50"/>
      <c r="D69" s="51" t="s">
        <v>436</v>
      </c>
      <c r="E69" s="50"/>
      <c r="F69" s="51" t="s">
        <v>437</v>
      </c>
      <c r="G69" s="50" t="str">
        <f>REPLACE(D69,6,12," kalam")</f>
        <v>A.P.J kalam</v>
      </c>
    </row>
    <row r="70" spans="2:7">
      <c r="B70" s="50"/>
      <c r="C70" s="50"/>
      <c r="D70" s="51" t="s">
        <v>438</v>
      </c>
      <c r="E70" s="50"/>
      <c r="F70" s="51" t="s">
        <v>439</v>
      </c>
      <c r="G70" s="50" t="str">
        <f>REPLACE(D70,1,0," ")</f>
        <v xml:space="preserve"> B. R. Ambedkar</v>
      </c>
    </row>
    <row r="71" spans="2:7">
      <c r="B71" s="50"/>
      <c r="C71" s="50"/>
      <c r="D71" s="51" t="s">
        <v>440</v>
      </c>
      <c r="E71" s="50"/>
      <c r="F71" s="51" t="s">
        <v>441</v>
      </c>
      <c r="G71" s="50" t="str">
        <f>REPLACE(D71,9,12,"@")</f>
        <v>Pratibha@</v>
      </c>
    </row>
    <row r="72" spans="2:7">
      <c r="B72" s="50"/>
      <c r="C72" s="50"/>
      <c r="D72" s="50"/>
      <c r="E72" s="50"/>
      <c r="F72" s="50"/>
      <c r="G72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C1:G79"/>
  <sheetViews>
    <sheetView workbookViewId="0"/>
  </sheetViews>
  <sheetFormatPr defaultColWidth="12.6640625" defaultRowHeight="15.75" customHeight="1"/>
  <cols>
    <col min="1" max="5" width="16.77734375" customWidth="1"/>
    <col min="6" max="6" width="21.77734375" customWidth="1"/>
    <col min="7" max="26" width="16.77734375" customWidth="1"/>
  </cols>
  <sheetData>
    <row r="1" spans="3:7">
      <c r="C1" s="54" t="s">
        <v>1</v>
      </c>
      <c r="D1" s="55" t="s">
        <v>2</v>
      </c>
      <c r="E1" s="55" t="s">
        <v>3</v>
      </c>
      <c r="F1" s="55" t="s">
        <v>4</v>
      </c>
      <c r="G1" s="55" t="s">
        <v>5</v>
      </c>
    </row>
    <row r="2" spans="3:7">
      <c r="C2" s="56"/>
      <c r="D2" s="57"/>
      <c r="E2" s="57"/>
      <c r="F2" s="57"/>
      <c r="G2" s="57"/>
    </row>
    <row r="3" spans="3:7">
      <c r="C3" s="58">
        <v>1</v>
      </c>
      <c r="D3" s="59" t="s">
        <v>17</v>
      </c>
      <c r="E3" s="60" t="s">
        <v>442</v>
      </c>
      <c r="F3" s="60" t="s">
        <v>443</v>
      </c>
      <c r="G3" s="61" t="e">
        <f ca="1">_xludf.CONCAT(E3,E4)</f>
        <v>#NAME?</v>
      </c>
    </row>
    <row r="4" spans="3:7">
      <c r="C4" s="56"/>
      <c r="D4" s="57"/>
      <c r="E4" s="60" t="s">
        <v>444</v>
      </c>
      <c r="F4" s="57"/>
      <c r="G4" s="57"/>
    </row>
    <row r="5" spans="3:7">
      <c r="C5" s="56"/>
      <c r="D5" s="57"/>
      <c r="E5" s="61"/>
      <c r="F5" s="57"/>
      <c r="G5" s="57"/>
    </row>
    <row r="6" spans="3:7">
      <c r="C6" s="56"/>
      <c r="D6" s="57"/>
      <c r="E6" s="60" t="s">
        <v>445</v>
      </c>
      <c r="F6" s="60" t="s">
        <v>446</v>
      </c>
      <c r="G6" s="60" t="e">
        <f ca="1">_xludf.CONCAT(E6,E7)</f>
        <v>#NAME?</v>
      </c>
    </row>
    <row r="7" spans="3:7">
      <c r="C7" s="56"/>
      <c r="D7" s="57"/>
      <c r="E7" s="60" t="s">
        <v>447</v>
      </c>
      <c r="F7" s="57"/>
      <c r="G7" s="57"/>
    </row>
    <row r="8" spans="3:7">
      <c r="C8" s="56"/>
      <c r="D8" s="57"/>
      <c r="E8" s="61"/>
      <c r="F8" s="57"/>
      <c r="G8" s="57"/>
    </row>
    <row r="9" spans="3:7">
      <c r="C9" s="56"/>
      <c r="D9" s="57"/>
      <c r="E9" s="60" t="s">
        <v>24</v>
      </c>
      <c r="F9" s="60" t="s">
        <v>448</v>
      </c>
      <c r="G9" s="60" t="e">
        <f ca="1">_xludf.CONCAT(E9,E10)</f>
        <v>#NAME?</v>
      </c>
    </row>
    <row r="10" spans="3:7">
      <c r="C10" s="56"/>
      <c r="D10" s="57"/>
      <c r="E10" s="60" t="s">
        <v>449</v>
      </c>
      <c r="F10" s="57"/>
      <c r="G10" s="57"/>
    </row>
    <row r="11" spans="3:7">
      <c r="C11" s="56"/>
      <c r="D11" s="57"/>
      <c r="E11" s="61"/>
      <c r="F11" s="57"/>
      <c r="G11" s="57"/>
    </row>
    <row r="12" spans="3:7">
      <c r="C12" s="56"/>
      <c r="D12" s="57"/>
      <c r="E12" s="60" t="s">
        <v>450</v>
      </c>
      <c r="F12" s="60" t="s">
        <v>451</v>
      </c>
      <c r="G12" s="60" t="e">
        <f ca="1">_xludf.CONCAT(E12,E13)</f>
        <v>#NAME?</v>
      </c>
    </row>
    <row r="13" spans="3:7">
      <c r="C13" s="56"/>
      <c r="D13" s="57"/>
      <c r="E13" s="60" t="s">
        <v>29</v>
      </c>
      <c r="F13" s="57"/>
      <c r="G13" s="57"/>
    </row>
    <row r="14" spans="3:7">
      <c r="C14" s="56"/>
      <c r="D14" s="57"/>
      <c r="E14" s="61"/>
      <c r="F14" s="57"/>
      <c r="G14" s="57"/>
    </row>
    <row r="15" spans="3:7">
      <c r="C15" s="56"/>
      <c r="D15" s="57"/>
      <c r="E15" s="60" t="s">
        <v>452</v>
      </c>
      <c r="F15" s="60" t="s">
        <v>453</v>
      </c>
      <c r="G15" s="60" t="e">
        <f ca="1">_xludf.CONCAT(E15,E16)</f>
        <v>#NAME?</v>
      </c>
    </row>
    <row r="16" spans="3:7">
      <c r="C16" s="62"/>
      <c r="D16" s="63"/>
      <c r="E16" s="64" t="s">
        <v>454</v>
      </c>
      <c r="F16" s="63"/>
      <c r="G16" s="63"/>
    </row>
    <row r="17" spans="3:7">
      <c r="C17" s="56"/>
      <c r="D17" s="57"/>
      <c r="E17" s="57"/>
      <c r="F17" s="57"/>
      <c r="G17" s="57"/>
    </row>
    <row r="18" spans="3:7">
      <c r="C18" s="58">
        <v>2</v>
      </c>
      <c r="D18" s="59" t="s">
        <v>33</v>
      </c>
      <c r="E18" s="60" t="s">
        <v>455</v>
      </c>
      <c r="F18" s="60" t="s">
        <v>456</v>
      </c>
      <c r="G18" s="60">
        <f>FIND("n",E18)</f>
        <v>4</v>
      </c>
    </row>
    <row r="19" spans="3:7">
      <c r="C19" s="56"/>
      <c r="D19" s="65"/>
      <c r="E19" s="60" t="s">
        <v>457</v>
      </c>
      <c r="F19" s="60" t="s">
        <v>458</v>
      </c>
      <c r="G19" s="60">
        <f>FIND("C",E19)</f>
        <v>1</v>
      </c>
    </row>
    <row r="20" spans="3:7">
      <c r="C20" s="56"/>
      <c r="D20" s="57"/>
      <c r="E20" s="60" t="s">
        <v>459</v>
      </c>
      <c r="F20" s="60" t="s">
        <v>460</v>
      </c>
      <c r="G20" s="60">
        <f>FIND("c",E20)</f>
        <v>4</v>
      </c>
    </row>
    <row r="21" spans="3:7">
      <c r="C21" s="56"/>
      <c r="D21" s="57"/>
      <c r="E21" s="60" t="s">
        <v>461</v>
      </c>
      <c r="F21" s="60" t="s">
        <v>462</v>
      </c>
      <c r="G21" s="60">
        <f>FIND("s",E21)</f>
        <v>3</v>
      </c>
    </row>
    <row r="22" spans="3:7">
      <c r="C22" s="62"/>
      <c r="D22" s="63"/>
      <c r="E22" s="64" t="s">
        <v>463</v>
      </c>
      <c r="F22" s="64" t="s">
        <v>39</v>
      </c>
      <c r="G22" s="64">
        <f>FIND("a",E22)</f>
        <v>2</v>
      </c>
    </row>
    <row r="23" spans="3:7">
      <c r="C23" s="56"/>
      <c r="D23" s="57"/>
      <c r="E23" s="57"/>
      <c r="F23" s="57"/>
      <c r="G23" s="57"/>
    </row>
    <row r="24" spans="3:7">
      <c r="C24" s="58">
        <v>3</v>
      </c>
      <c r="D24" s="59" t="s">
        <v>44</v>
      </c>
      <c r="E24" s="60" t="s">
        <v>464</v>
      </c>
      <c r="F24" s="60" t="s">
        <v>465</v>
      </c>
      <c r="G24" s="60" t="b">
        <f>EXACT(E24,E25)</f>
        <v>1</v>
      </c>
    </row>
    <row r="25" spans="3:7">
      <c r="C25" s="56"/>
      <c r="D25" s="57"/>
      <c r="E25" s="60" t="s">
        <v>464</v>
      </c>
      <c r="F25" s="57"/>
      <c r="G25" s="57"/>
    </row>
    <row r="26" spans="3:7">
      <c r="C26" s="56"/>
      <c r="D26" s="57"/>
      <c r="E26" s="61"/>
      <c r="F26" s="57"/>
      <c r="G26" s="57"/>
    </row>
    <row r="27" spans="3:7">
      <c r="C27" s="56"/>
      <c r="D27" s="57"/>
      <c r="E27" s="60" t="s">
        <v>466</v>
      </c>
      <c r="F27" s="60" t="s">
        <v>46</v>
      </c>
      <c r="G27" s="60" t="b">
        <f>EXACT(E27,E28)</f>
        <v>0</v>
      </c>
    </row>
    <row r="28" spans="3:7">
      <c r="C28" s="56"/>
      <c r="D28" s="57"/>
      <c r="E28" s="60" t="s">
        <v>467</v>
      </c>
      <c r="F28" s="57"/>
      <c r="G28" s="57"/>
    </row>
    <row r="29" spans="3:7">
      <c r="C29" s="56"/>
      <c r="D29" s="57"/>
      <c r="E29" s="61"/>
      <c r="F29" s="57"/>
      <c r="G29" s="57"/>
    </row>
    <row r="30" spans="3:7">
      <c r="C30" s="56"/>
      <c r="D30" s="57"/>
      <c r="E30" s="60" t="s">
        <v>468</v>
      </c>
      <c r="F30" s="60" t="s">
        <v>469</v>
      </c>
      <c r="G30" s="60" t="b">
        <f>EXACT(E30,E31)</f>
        <v>0</v>
      </c>
    </row>
    <row r="31" spans="3:7">
      <c r="C31" s="56"/>
      <c r="D31" s="57"/>
      <c r="E31" s="60" t="s">
        <v>470</v>
      </c>
      <c r="F31" s="57"/>
      <c r="G31" s="57"/>
    </row>
    <row r="32" spans="3:7">
      <c r="C32" s="56"/>
      <c r="D32" s="57"/>
      <c r="E32" s="61"/>
      <c r="F32" s="57"/>
      <c r="G32" s="57"/>
    </row>
    <row r="33" spans="3:7">
      <c r="C33" s="56"/>
      <c r="D33" s="57"/>
      <c r="E33" s="60" t="s">
        <v>471</v>
      </c>
      <c r="F33" s="60" t="s">
        <v>54</v>
      </c>
      <c r="G33" s="60" t="b">
        <f>EXACT(E33,E34)</f>
        <v>0</v>
      </c>
    </row>
    <row r="34" spans="3:7">
      <c r="C34" s="56"/>
      <c r="D34" s="57"/>
      <c r="E34" s="60" t="s">
        <v>472</v>
      </c>
      <c r="F34" s="57"/>
      <c r="G34" s="57"/>
    </row>
    <row r="35" spans="3:7">
      <c r="C35" s="56"/>
      <c r="D35" s="57"/>
      <c r="E35" s="61"/>
      <c r="F35" s="57"/>
      <c r="G35" s="57"/>
    </row>
    <row r="36" spans="3:7">
      <c r="C36" s="56"/>
      <c r="D36" s="57"/>
      <c r="E36" s="60" t="s">
        <v>473</v>
      </c>
      <c r="F36" s="60" t="s">
        <v>474</v>
      </c>
      <c r="G36" s="60" t="b">
        <f>EXACT(E36,E37)</f>
        <v>1</v>
      </c>
    </row>
    <row r="37" spans="3:7">
      <c r="C37" s="62"/>
      <c r="D37" s="63"/>
      <c r="E37" s="64" t="s">
        <v>473</v>
      </c>
      <c r="F37" s="63"/>
      <c r="G37" s="63"/>
    </row>
    <row r="38" spans="3:7">
      <c r="C38" s="56"/>
      <c r="D38" s="57"/>
      <c r="E38" s="57"/>
      <c r="F38" s="57"/>
      <c r="G38" s="57"/>
    </row>
    <row r="39" spans="3:7">
      <c r="C39" s="58">
        <v>4</v>
      </c>
      <c r="D39" s="59" t="s">
        <v>57</v>
      </c>
      <c r="E39" s="60" t="s">
        <v>475</v>
      </c>
      <c r="F39" s="60" t="s">
        <v>476</v>
      </c>
      <c r="G39" s="60" t="str">
        <f>LEFT(E39,3)</f>
        <v>Red</v>
      </c>
    </row>
    <row r="40" spans="3:7">
      <c r="C40" s="56"/>
      <c r="D40" s="57"/>
      <c r="E40" s="60" t="s">
        <v>477</v>
      </c>
      <c r="F40" s="60" t="s">
        <v>478</v>
      </c>
      <c r="G40" s="60" t="str">
        <f>LEFT(E40,4)</f>
        <v>Pink</v>
      </c>
    </row>
    <row r="41" spans="3:7">
      <c r="C41" s="56"/>
      <c r="D41" s="57"/>
      <c r="E41" s="60" t="s">
        <v>479</v>
      </c>
      <c r="F41" s="60" t="s">
        <v>480</v>
      </c>
      <c r="G41" s="60" t="str">
        <f>LEFT(E41,6)</f>
        <v>Orange</v>
      </c>
    </row>
    <row r="42" spans="3:7">
      <c r="C42" s="56"/>
      <c r="D42" s="57"/>
      <c r="E42" s="60" t="s">
        <v>481</v>
      </c>
      <c r="F42" s="60" t="s">
        <v>482</v>
      </c>
      <c r="G42" s="60" t="str">
        <f>LEFT(E42,5)</f>
        <v>Brown</v>
      </c>
    </row>
    <row r="43" spans="3:7">
      <c r="C43" s="62"/>
      <c r="D43" s="63"/>
      <c r="E43" s="64" t="s">
        <v>483</v>
      </c>
      <c r="F43" s="64" t="s">
        <v>484</v>
      </c>
      <c r="G43" s="64" t="str">
        <f>LEFT(E43,6)</f>
        <v>Purple</v>
      </c>
    </row>
    <row r="44" spans="3:7">
      <c r="C44" s="56"/>
      <c r="D44" s="57"/>
      <c r="E44" s="57"/>
      <c r="F44" s="57"/>
      <c r="G44" s="57"/>
    </row>
    <row r="45" spans="3:7">
      <c r="C45" s="58">
        <v>5</v>
      </c>
      <c r="D45" s="59" t="s">
        <v>123</v>
      </c>
      <c r="E45" s="60" t="s">
        <v>475</v>
      </c>
      <c r="F45" s="60" t="s">
        <v>485</v>
      </c>
      <c r="G45" s="60" t="str">
        <f>RIGHT(E45,5)</f>
        <v>Shade</v>
      </c>
    </row>
    <row r="46" spans="3:7">
      <c r="C46" s="56"/>
      <c r="D46" s="57"/>
      <c r="E46" s="60" t="s">
        <v>477</v>
      </c>
      <c r="F46" s="60" t="s">
        <v>486</v>
      </c>
      <c r="G46" s="60" t="str">
        <f>RIGHT(E46,4)</f>
        <v>wink</v>
      </c>
    </row>
    <row r="47" spans="3:7">
      <c r="C47" s="56"/>
      <c r="D47" s="57"/>
      <c r="E47" s="60" t="s">
        <v>479</v>
      </c>
      <c r="F47" s="60" t="s">
        <v>487</v>
      </c>
      <c r="G47" s="60" t="str">
        <f>RIGHT(E47,6)</f>
        <v>Orange</v>
      </c>
    </row>
    <row r="48" spans="3:7">
      <c r="C48" s="56"/>
      <c r="D48" s="57"/>
      <c r="E48" s="60" t="s">
        <v>481</v>
      </c>
      <c r="F48" s="60" t="s">
        <v>488</v>
      </c>
      <c r="G48" s="60" t="str">
        <f>RIGHT(E48,5)</f>
        <v>Crown</v>
      </c>
    </row>
    <row r="49" spans="3:7">
      <c r="C49" s="62"/>
      <c r="D49" s="63"/>
      <c r="E49" s="64" t="s">
        <v>483</v>
      </c>
      <c r="F49" s="64" t="s">
        <v>489</v>
      </c>
      <c r="G49" s="64" t="str">
        <f>RIGHT(E49,6)</f>
        <v>hurdle</v>
      </c>
    </row>
    <row r="50" spans="3:7">
      <c r="C50" s="56"/>
      <c r="D50" s="57"/>
      <c r="E50" s="57"/>
      <c r="F50" s="57"/>
      <c r="G50" s="57"/>
    </row>
    <row r="51" spans="3:7">
      <c r="C51" s="58">
        <v>6</v>
      </c>
      <c r="D51" s="59" t="s">
        <v>68</v>
      </c>
      <c r="E51" s="60" t="s">
        <v>464</v>
      </c>
      <c r="F51" s="60" t="s">
        <v>490</v>
      </c>
      <c r="G51" s="60">
        <f t="shared" ref="G51:G55" si="0">LEN(E51)</f>
        <v>3</v>
      </c>
    </row>
    <row r="52" spans="3:7">
      <c r="C52" s="56"/>
      <c r="D52" s="57"/>
      <c r="E52" s="60" t="s">
        <v>466</v>
      </c>
      <c r="F52" s="60" t="s">
        <v>491</v>
      </c>
      <c r="G52" s="60">
        <f t="shared" si="0"/>
        <v>4</v>
      </c>
    </row>
    <row r="53" spans="3:7">
      <c r="C53" s="56"/>
      <c r="D53" s="57"/>
      <c r="E53" s="60" t="s">
        <v>468</v>
      </c>
      <c r="F53" s="60" t="s">
        <v>492</v>
      </c>
      <c r="G53" s="60">
        <f t="shared" si="0"/>
        <v>6</v>
      </c>
    </row>
    <row r="54" spans="3:7">
      <c r="C54" s="56"/>
      <c r="D54" s="57"/>
      <c r="E54" s="60" t="s">
        <v>472</v>
      </c>
      <c r="F54" s="60" t="s">
        <v>493</v>
      </c>
      <c r="G54" s="60">
        <f t="shared" si="0"/>
        <v>5</v>
      </c>
    </row>
    <row r="55" spans="3:7">
      <c r="C55" s="62"/>
      <c r="D55" s="63"/>
      <c r="E55" s="64" t="s">
        <v>473</v>
      </c>
      <c r="F55" s="64" t="s">
        <v>494</v>
      </c>
      <c r="G55" s="64">
        <f t="shared" si="0"/>
        <v>6</v>
      </c>
    </row>
    <row r="56" spans="3:7">
      <c r="C56" s="56"/>
      <c r="D56" s="57"/>
      <c r="E56" s="57"/>
      <c r="F56" s="57"/>
      <c r="G56" s="57"/>
    </row>
    <row r="57" spans="3:7">
      <c r="C57" s="58">
        <v>7</v>
      </c>
      <c r="D57" s="59" t="s">
        <v>79</v>
      </c>
      <c r="E57" s="60" t="s">
        <v>464</v>
      </c>
      <c r="F57" s="60" t="s">
        <v>495</v>
      </c>
      <c r="G57" s="60" t="str">
        <f t="shared" ref="G57:G61" si="1">LOWER(E57)</f>
        <v>red</v>
      </c>
    </row>
    <row r="58" spans="3:7">
      <c r="C58" s="56"/>
      <c r="D58" s="57"/>
      <c r="E58" s="60" t="s">
        <v>496</v>
      </c>
      <c r="F58" s="60" t="s">
        <v>497</v>
      </c>
      <c r="G58" s="60" t="str">
        <f t="shared" si="1"/>
        <v>pink</v>
      </c>
    </row>
    <row r="59" spans="3:7">
      <c r="C59" s="56"/>
      <c r="D59" s="57"/>
      <c r="E59" s="60" t="s">
        <v>498</v>
      </c>
      <c r="F59" s="60" t="s">
        <v>499</v>
      </c>
      <c r="G59" s="60" t="str">
        <f t="shared" si="1"/>
        <v>orange</v>
      </c>
    </row>
    <row r="60" spans="3:7">
      <c r="C60" s="56"/>
      <c r="D60" s="57"/>
      <c r="E60" s="60" t="s">
        <v>500</v>
      </c>
      <c r="F60" s="60" t="s">
        <v>501</v>
      </c>
      <c r="G60" s="60" t="str">
        <f t="shared" si="1"/>
        <v>blue</v>
      </c>
    </row>
    <row r="61" spans="3:7">
      <c r="C61" s="62"/>
      <c r="D61" s="63"/>
      <c r="E61" s="64" t="s">
        <v>502</v>
      </c>
      <c r="F61" s="64" t="s">
        <v>503</v>
      </c>
      <c r="G61" s="64" t="str">
        <f t="shared" si="1"/>
        <v>purple</v>
      </c>
    </row>
    <row r="62" spans="3:7">
      <c r="C62" s="56"/>
      <c r="D62" s="57"/>
      <c r="E62" s="57"/>
      <c r="F62" s="57"/>
      <c r="G62" s="57"/>
    </row>
    <row r="63" spans="3:7">
      <c r="C63" s="58">
        <v>8</v>
      </c>
      <c r="D63" s="59" t="s">
        <v>134</v>
      </c>
      <c r="E63" s="60" t="s">
        <v>464</v>
      </c>
      <c r="F63" s="60" t="s">
        <v>504</v>
      </c>
      <c r="G63" s="60" t="str">
        <f t="shared" ref="G63:G67" si="2">UPPER(E63)</f>
        <v>RED</v>
      </c>
    </row>
    <row r="64" spans="3:7">
      <c r="C64" s="56"/>
      <c r="D64" s="57"/>
      <c r="E64" s="60" t="s">
        <v>496</v>
      </c>
      <c r="F64" s="60" t="s">
        <v>505</v>
      </c>
      <c r="G64" s="66" t="str">
        <f t="shared" si="2"/>
        <v>PINK</v>
      </c>
    </row>
    <row r="65" spans="3:7">
      <c r="C65" s="56"/>
      <c r="D65" s="57"/>
      <c r="E65" s="60" t="s">
        <v>498</v>
      </c>
      <c r="F65" s="60" t="s">
        <v>506</v>
      </c>
      <c r="G65" s="60" t="str">
        <f t="shared" si="2"/>
        <v>ORANGE</v>
      </c>
    </row>
    <row r="66" spans="3:7">
      <c r="C66" s="56"/>
      <c r="D66" s="57"/>
      <c r="E66" s="60" t="s">
        <v>500</v>
      </c>
      <c r="F66" s="60" t="s">
        <v>507</v>
      </c>
      <c r="G66" s="60" t="str">
        <f t="shared" si="2"/>
        <v>BLUE</v>
      </c>
    </row>
    <row r="67" spans="3:7">
      <c r="C67" s="62"/>
      <c r="D67" s="63"/>
      <c r="E67" s="64" t="s">
        <v>502</v>
      </c>
      <c r="F67" s="64" t="s">
        <v>508</v>
      </c>
      <c r="G67" s="64" t="str">
        <f t="shared" si="2"/>
        <v>PURPLE</v>
      </c>
    </row>
    <row r="68" spans="3:7">
      <c r="C68" s="56"/>
      <c r="D68" s="57"/>
      <c r="E68" s="57"/>
      <c r="F68" s="57"/>
      <c r="G68" s="57"/>
    </row>
    <row r="69" spans="3:7">
      <c r="C69" s="58">
        <v>9</v>
      </c>
      <c r="D69" s="59" t="s">
        <v>101</v>
      </c>
      <c r="E69" s="60" t="s">
        <v>464</v>
      </c>
      <c r="F69" s="60" t="s">
        <v>509</v>
      </c>
      <c r="G69" s="60" t="str">
        <f t="shared" ref="G69:G73" si="3">PROPER(E69)</f>
        <v>Red</v>
      </c>
    </row>
    <row r="70" spans="3:7">
      <c r="C70" s="56"/>
      <c r="D70" s="57"/>
      <c r="E70" s="60" t="s">
        <v>496</v>
      </c>
      <c r="F70" s="60" t="s">
        <v>510</v>
      </c>
      <c r="G70" s="60" t="str">
        <f t="shared" si="3"/>
        <v>Pink</v>
      </c>
    </row>
    <row r="71" spans="3:7">
      <c r="C71" s="56"/>
      <c r="D71" s="57"/>
      <c r="E71" s="60" t="s">
        <v>498</v>
      </c>
      <c r="F71" s="60" t="s">
        <v>511</v>
      </c>
      <c r="G71" s="60" t="str">
        <f t="shared" si="3"/>
        <v>Orange</v>
      </c>
    </row>
    <row r="72" spans="3:7">
      <c r="C72" s="56"/>
      <c r="D72" s="57"/>
      <c r="E72" s="60" t="s">
        <v>500</v>
      </c>
      <c r="F72" s="60" t="s">
        <v>512</v>
      </c>
      <c r="G72" s="60" t="str">
        <f t="shared" si="3"/>
        <v>Blue</v>
      </c>
    </row>
    <row r="73" spans="3:7">
      <c r="C73" s="62"/>
      <c r="D73" s="63"/>
      <c r="E73" s="64" t="s">
        <v>502</v>
      </c>
      <c r="F73" s="64" t="s">
        <v>513</v>
      </c>
      <c r="G73" s="64" t="str">
        <f t="shared" si="3"/>
        <v>Purple</v>
      </c>
    </row>
    <row r="74" spans="3:7">
      <c r="C74" s="56"/>
      <c r="D74" s="57"/>
      <c r="E74" s="57"/>
      <c r="F74" s="57"/>
      <c r="G74" s="57"/>
    </row>
    <row r="75" spans="3:7">
      <c r="C75" s="58">
        <v>10</v>
      </c>
      <c r="D75" s="59" t="s">
        <v>112</v>
      </c>
      <c r="E75" s="60" t="s">
        <v>475</v>
      </c>
      <c r="F75" s="60" t="s">
        <v>514</v>
      </c>
      <c r="G75" s="60" t="str">
        <f>REPLACE(E75,4,5,"Bus")</f>
        <v>RedBus</v>
      </c>
    </row>
    <row r="76" spans="3:7">
      <c r="C76" s="56"/>
      <c r="D76" s="57"/>
      <c r="E76" s="60" t="s">
        <v>477</v>
      </c>
      <c r="F76" s="60" t="s">
        <v>515</v>
      </c>
      <c r="G76" s="60" t="str">
        <f>REPLACE(E76,5,4,"Drink")</f>
        <v>PinkDrink</v>
      </c>
    </row>
    <row r="77" spans="3:7">
      <c r="C77" s="56"/>
      <c r="D77" s="57"/>
      <c r="E77" s="60" t="s">
        <v>479</v>
      </c>
      <c r="F77" s="60" t="s">
        <v>516</v>
      </c>
      <c r="G77" s="60" t="str">
        <f>REPLACE(E77,7,6," ")</f>
        <v xml:space="preserve">Orange </v>
      </c>
    </row>
    <row r="78" spans="3:7">
      <c r="C78" s="56"/>
      <c r="D78" s="57"/>
      <c r="E78" s="60" t="s">
        <v>481</v>
      </c>
      <c r="F78" s="60" t="s">
        <v>517</v>
      </c>
      <c r="G78" s="60" t="str">
        <f>REPLACE(E78,1,5,"Royal")</f>
        <v>RoyalCrown</v>
      </c>
    </row>
    <row r="79" spans="3:7">
      <c r="C79" s="62"/>
      <c r="D79" s="63"/>
      <c r="E79" s="64" t="s">
        <v>483</v>
      </c>
      <c r="F79" s="64" t="s">
        <v>518</v>
      </c>
      <c r="G79" s="64" t="str">
        <f>REPLACE(E79,1,6,"")</f>
        <v>hurdle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11"/>
  <sheetViews>
    <sheetView workbookViewId="0"/>
  </sheetViews>
  <sheetFormatPr defaultColWidth="12.6640625" defaultRowHeight="15.75" customHeight="1"/>
  <cols>
    <col min="4" max="4" width="24.77734375" customWidth="1"/>
  </cols>
  <sheetData>
    <row r="1" spans="1:7">
      <c r="A1" s="67" t="s">
        <v>2</v>
      </c>
      <c r="B1" s="68" t="s">
        <v>519</v>
      </c>
      <c r="C1" s="68" t="s">
        <v>519</v>
      </c>
      <c r="D1" s="68" t="s">
        <v>4</v>
      </c>
      <c r="E1" s="68" t="s">
        <v>5</v>
      </c>
    </row>
    <row r="2" spans="1:7">
      <c r="A2" s="69" t="s">
        <v>6</v>
      </c>
      <c r="B2" s="70" t="s">
        <v>520</v>
      </c>
      <c r="C2" s="70"/>
      <c r="D2" s="70" t="s">
        <v>521</v>
      </c>
      <c r="E2" s="70" t="s">
        <v>520</v>
      </c>
    </row>
    <row r="3" spans="1:7">
      <c r="A3" s="69" t="s">
        <v>6</v>
      </c>
      <c r="B3" s="71" t="s">
        <v>522</v>
      </c>
      <c r="C3" s="70"/>
      <c r="D3" s="70" t="s">
        <v>523</v>
      </c>
      <c r="E3" s="70" t="str">
        <f t="shared" ref="E3:E6" si="0">CLEAN(B3)</f>
        <v>Data Entry</v>
      </c>
      <c r="F3" s="72"/>
      <c r="G3" s="72"/>
    </row>
    <row r="4" spans="1:7">
      <c r="A4" s="73" t="s">
        <v>6</v>
      </c>
      <c r="B4" s="74" t="s">
        <v>524</v>
      </c>
      <c r="C4" s="70"/>
      <c r="D4" s="70" t="s">
        <v>525</v>
      </c>
      <c r="E4" s="74" t="str">
        <f t="shared" si="0"/>
        <v>ExcelTraining</v>
      </c>
      <c r="F4" s="75"/>
    </row>
    <row r="5" spans="1:7">
      <c r="A5" s="73" t="s">
        <v>6</v>
      </c>
      <c r="B5" s="70" t="s">
        <v>526</v>
      </c>
      <c r="C5" s="70"/>
      <c r="D5" s="70" t="s">
        <v>527</v>
      </c>
      <c r="E5" s="76" t="str">
        <f t="shared" si="0"/>
        <v>HRReport</v>
      </c>
    </row>
    <row r="6" spans="1:7">
      <c r="A6" s="73" t="s">
        <v>6</v>
      </c>
      <c r="B6" s="70" t="s">
        <v>528</v>
      </c>
      <c r="C6" s="70"/>
      <c r="D6" s="70" t="s">
        <v>529</v>
      </c>
      <c r="E6" s="76" t="str">
        <f t="shared" si="0"/>
        <v>EmployeeList</v>
      </c>
    </row>
    <row r="7" spans="1:7">
      <c r="A7" s="73"/>
      <c r="B7" s="70"/>
      <c r="C7" s="70"/>
      <c r="D7" s="70"/>
      <c r="E7" s="76"/>
    </row>
    <row r="8" spans="1:7">
      <c r="A8" s="73" t="s">
        <v>17</v>
      </c>
      <c r="B8" s="70" t="s">
        <v>530</v>
      </c>
      <c r="C8" s="70" t="s">
        <v>531</v>
      </c>
      <c r="D8" s="70" t="s">
        <v>532</v>
      </c>
      <c r="E8" s="76" t="e">
        <f t="shared" ref="E8:E12" ca="1" si="1">_xludf.CONCAT(B8,C8)</f>
        <v>#NAME?</v>
      </c>
    </row>
    <row r="9" spans="1:7">
      <c r="A9" s="73" t="s">
        <v>17</v>
      </c>
      <c r="B9" s="70" t="s">
        <v>533</v>
      </c>
      <c r="C9" s="70" t="s">
        <v>534</v>
      </c>
      <c r="D9" s="70" t="s">
        <v>535</v>
      </c>
      <c r="E9" s="76" t="e">
        <f t="shared" ca="1" si="1"/>
        <v>#NAME?</v>
      </c>
    </row>
    <row r="10" spans="1:7">
      <c r="A10" s="73" t="s">
        <v>17</v>
      </c>
      <c r="B10" s="70" t="s">
        <v>536</v>
      </c>
      <c r="C10" s="70" t="s">
        <v>537</v>
      </c>
      <c r="D10" s="70" t="s">
        <v>538</v>
      </c>
      <c r="E10" s="76" t="e">
        <f t="shared" ca="1" si="1"/>
        <v>#NAME?</v>
      </c>
    </row>
    <row r="11" spans="1:7">
      <c r="A11" s="73" t="s">
        <v>17</v>
      </c>
      <c r="B11" s="70" t="s">
        <v>539</v>
      </c>
      <c r="C11" s="70" t="s">
        <v>540</v>
      </c>
      <c r="D11" s="70" t="s">
        <v>541</v>
      </c>
      <c r="E11" s="76" t="e">
        <f t="shared" ca="1" si="1"/>
        <v>#NAME?</v>
      </c>
    </row>
    <row r="12" spans="1:7">
      <c r="A12" s="73" t="s">
        <v>17</v>
      </c>
      <c r="B12" s="70" t="s">
        <v>542</v>
      </c>
      <c r="C12" s="70" t="s">
        <v>543</v>
      </c>
      <c r="D12" s="70" t="s">
        <v>544</v>
      </c>
      <c r="E12" s="76" t="e">
        <f t="shared" ca="1" si="1"/>
        <v>#NAME?</v>
      </c>
    </row>
    <row r="13" spans="1:7">
      <c r="A13" s="73"/>
      <c r="B13" s="70"/>
      <c r="C13" s="76"/>
      <c r="D13" s="70"/>
      <c r="E13" s="76"/>
    </row>
    <row r="14" spans="1:7">
      <c r="A14" s="73" t="s">
        <v>33</v>
      </c>
      <c r="B14" s="70" t="s">
        <v>545</v>
      </c>
      <c r="C14" s="76"/>
      <c r="D14" s="70" t="s">
        <v>546</v>
      </c>
      <c r="E14" s="76">
        <f>FIND("l",B14,"4")</f>
        <v>4</v>
      </c>
    </row>
    <row r="15" spans="1:7">
      <c r="A15" s="73" t="s">
        <v>33</v>
      </c>
      <c r="B15" s="70" t="s">
        <v>547</v>
      </c>
      <c r="C15" s="76"/>
      <c r="D15" s="70" t="s">
        <v>548</v>
      </c>
      <c r="E15" s="76">
        <f>FIND("g",B15,"3")</f>
        <v>3</v>
      </c>
    </row>
    <row r="16" spans="1:7">
      <c r="A16" s="73" t="s">
        <v>33</v>
      </c>
      <c r="B16" s="70" t="s">
        <v>549</v>
      </c>
      <c r="C16" s="76"/>
      <c r="D16" s="70" t="s">
        <v>550</v>
      </c>
      <c r="E16" s="76">
        <f>FIND("x",B16,"2")</f>
        <v>2</v>
      </c>
    </row>
    <row r="17" spans="1:5">
      <c r="A17" s="73" t="s">
        <v>33</v>
      </c>
      <c r="B17" s="70" t="s">
        <v>551</v>
      </c>
      <c r="C17" s="76"/>
      <c r="D17" s="70" t="s">
        <v>552</v>
      </c>
      <c r="E17" s="76">
        <f>FIND("c",B17,"5")</f>
        <v>5</v>
      </c>
    </row>
    <row r="18" spans="1:5">
      <c r="A18" s="73" t="s">
        <v>33</v>
      </c>
      <c r="B18" s="70" t="s">
        <v>534</v>
      </c>
      <c r="C18" s="76"/>
      <c r="D18" s="70" t="s">
        <v>553</v>
      </c>
      <c r="E18" s="76">
        <f>FIND("e",B18,"6")</f>
        <v>6</v>
      </c>
    </row>
    <row r="19" spans="1:5">
      <c r="A19" s="73"/>
      <c r="B19" s="70"/>
      <c r="C19" s="70"/>
      <c r="D19" s="70"/>
      <c r="E19" s="76"/>
    </row>
    <row r="20" spans="1:5">
      <c r="A20" s="73" t="s">
        <v>44</v>
      </c>
      <c r="B20" s="70" t="s">
        <v>554</v>
      </c>
      <c r="C20" s="70" t="s">
        <v>554</v>
      </c>
      <c r="D20" s="70" t="s">
        <v>555</v>
      </c>
      <c r="E20" s="76" t="b">
        <f t="shared" ref="E20:E24" si="2">EXACT(B20,C20)</f>
        <v>1</v>
      </c>
    </row>
    <row r="21" spans="1:5">
      <c r="A21" s="73" t="s">
        <v>44</v>
      </c>
      <c r="B21" s="70" t="s">
        <v>542</v>
      </c>
      <c r="C21" s="70" t="s">
        <v>542</v>
      </c>
      <c r="D21" s="70" t="s">
        <v>556</v>
      </c>
      <c r="E21" s="76" t="b">
        <f t="shared" si="2"/>
        <v>1</v>
      </c>
    </row>
    <row r="22" spans="1:5">
      <c r="A22" s="73" t="s">
        <v>44</v>
      </c>
      <c r="B22" s="70" t="s">
        <v>530</v>
      </c>
      <c r="C22" s="70" t="s">
        <v>557</v>
      </c>
      <c r="D22" s="70" t="s">
        <v>558</v>
      </c>
      <c r="E22" s="76" t="b">
        <f t="shared" si="2"/>
        <v>0</v>
      </c>
    </row>
    <row r="23" spans="1:5">
      <c r="A23" s="73" t="s">
        <v>44</v>
      </c>
      <c r="B23" s="70" t="s">
        <v>536</v>
      </c>
      <c r="C23" s="70" t="s">
        <v>559</v>
      </c>
      <c r="D23" s="70" t="s">
        <v>560</v>
      </c>
      <c r="E23" s="76" t="b">
        <f t="shared" si="2"/>
        <v>0</v>
      </c>
    </row>
    <row r="24" spans="1:5">
      <c r="A24" s="73" t="s">
        <v>44</v>
      </c>
      <c r="B24" s="70" t="s">
        <v>561</v>
      </c>
      <c r="C24" s="70" t="s">
        <v>562</v>
      </c>
      <c r="D24" s="70" t="s">
        <v>563</v>
      </c>
      <c r="E24" s="76" t="b">
        <f t="shared" si="2"/>
        <v>0</v>
      </c>
    </row>
    <row r="25" spans="1:5">
      <c r="A25" s="73"/>
      <c r="B25" s="70"/>
      <c r="C25" s="76"/>
      <c r="D25" s="70"/>
      <c r="E25" s="76"/>
    </row>
    <row r="26" spans="1:5">
      <c r="A26" s="73" t="s">
        <v>57</v>
      </c>
      <c r="B26" s="70" t="s">
        <v>547</v>
      </c>
      <c r="C26" s="76"/>
      <c r="D26" s="70" t="s">
        <v>564</v>
      </c>
      <c r="E26" s="76" t="str">
        <f>LEFT(B26,"3")</f>
        <v>Nag</v>
      </c>
    </row>
    <row r="27" spans="1:5">
      <c r="A27" s="73" t="s">
        <v>57</v>
      </c>
      <c r="B27" s="70" t="s">
        <v>534</v>
      </c>
      <c r="C27" s="76"/>
      <c r="D27" s="70" t="s">
        <v>565</v>
      </c>
      <c r="E27" s="76" t="str">
        <f>LEFT(B27,"5")</f>
        <v>Manag</v>
      </c>
    </row>
    <row r="28" spans="1:5">
      <c r="A28" s="73" t="s">
        <v>57</v>
      </c>
      <c r="B28" s="70" t="s">
        <v>549</v>
      </c>
      <c r="C28" s="76"/>
      <c r="D28" s="70" t="s">
        <v>566</v>
      </c>
      <c r="E28" s="70" t="s">
        <v>567</v>
      </c>
    </row>
    <row r="29" spans="1:5">
      <c r="A29" s="73" t="s">
        <v>57</v>
      </c>
      <c r="B29" s="70" t="s">
        <v>551</v>
      </c>
      <c r="C29" s="76"/>
      <c r="D29" s="70" t="s">
        <v>568</v>
      </c>
      <c r="E29" s="70" t="s">
        <v>569</v>
      </c>
    </row>
    <row r="30" spans="1:5">
      <c r="A30" s="73" t="s">
        <v>57</v>
      </c>
      <c r="B30" s="70" t="s">
        <v>554</v>
      </c>
      <c r="C30" s="76"/>
      <c r="D30" s="70" t="s">
        <v>570</v>
      </c>
      <c r="E30" s="70" t="s">
        <v>571</v>
      </c>
    </row>
    <row r="31" spans="1:5">
      <c r="A31" s="73"/>
      <c r="B31" s="70"/>
      <c r="C31" s="76"/>
      <c r="D31" s="70"/>
      <c r="E31" s="76"/>
    </row>
    <row r="32" spans="1:5">
      <c r="A32" s="73" t="s">
        <v>68</v>
      </c>
      <c r="B32" s="70" t="s">
        <v>549</v>
      </c>
      <c r="C32" s="76"/>
      <c r="D32" s="70" t="s">
        <v>572</v>
      </c>
      <c r="E32" s="76">
        <f t="shared" ref="E32:E36" si="3">LEN(B32)</f>
        <v>5</v>
      </c>
    </row>
    <row r="33" spans="1:5">
      <c r="A33" s="73" t="s">
        <v>68</v>
      </c>
      <c r="B33" s="70" t="s">
        <v>530</v>
      </c>
      <c r="C33" s="76"/>
      <c r="D33" s="70" t="s">
        <v>573</v>
      </c>
      <c r="E33" s="76">
        <f t="shared" si="3"/>
        <v>2</v>
      </c>
    </row>
    <row r="34" spans="1:5">
      <c r="A34" s="73" t="s">
        <v>68</v>
      </c>
      <c r="B34" s="70" t="s">
        <v>547</v>
      </c>
      <c r="C34" s="76"/>
      <c r="D34" s="70" t="s">
        <v>574</v>
      </c>
      <c r="E34" s="76">
        <f t="shared" si="3"/>
        <v>6</v>
      </c>
    </row>
    <row r="35" spans="1:5">
      <c r="A35" s="73" t="s">
        <v>68</v>
      </c>
      <c r="B35" s="70" t="s">
        <v>534</v>
      </c>
      <c r="C35" s="76"/>
      <c r="D35" s="70" t="s">
        <v>575</v>
      </c>
      <c r="E35" s="76">
        <f t="shared" si="3"/>
        <v>7</v>
      </c>
    </row>
    <row r="36" spans="1:5">
      <c r="A36" s="73" t="s">
        <v>68</v>
      </c>
      <c r="B36" s="70" t="s">
        <v>543</v>
      </c>
      <c r="C36" s="76"/>
      <c r="D36" s="70" t="s">
        <v>576</v>
      </c>
      <c r="E36" s="76">
        <f t="shared" si="3"/>
        <v>8</v>
      </c>
    </row>
    <row r="37" spans="1:5">
      <c r="A37" s="73"/>
      <c r="B37" s="70"/>
      <c r="C37" s="76"/>
      <c r="D37" s="70"/>
      <c r="E37" s="76"/>
    </row>
    <row r="38" spans="1:5">
      <c r="A38" s="73" t="s">
        <v>79</v>
      </c>
      <c r="B38" s="70" t="s">
        <v>577</v>
      </c>
      <c r="C38" s="76"/>
      <c r="D38" s="70" t="s">
        <v>578</v>
      </c>
      <c r="E38" s="76" t="str">
        <f t="shared" ref="E38:E42" si="4">LOWER(B38)</f>
        <v>excel</v>
      </c>
    </row>
    <row r="39" spans="1:5">
      <c r="A39" s="73" t="s">
        <v>79</v>
      </c>
      <c r="B39" s="70" t="s">
        <v>579</v>
      </c>
      <c r="C39" s="76"/>
      <c r="D39" s="70" t="s">
        <v>580</v>
      </c>
      <c r="E39" s="76" t="str">
        <f t="shared" si="4"/>
        <v>hr manager</v>
      </c>
    </row>
    <row r="40" spans="1:5">
      <c r="A40" s="73" t="s">
        <v>79</v>
      </c>
      <c r="B40" s="70" t="s">
        <v>581</v>
      </c>
      <c r="C40" s="76"/>
      <c r="D40" s="70" t="s">
        <v>582</v>
      </c>
      <c r="E40" s="76" t="str">
        <f t="shared" si="4"/>
        <v>data</v>
      </c>
    </row>
    <row r="41" spans="1:5">
      <c r="A41" s="73" t="s">
        <v>79</v>
      </c>
      <c r="B41" s="70" t="s">
        <v>583</v>
      </c>
      <c r="C41" s="76"/>
      <c r="D41" s="70" t="s">
        <v>584</v>
      </c>
      <c r="E41" s="76" t="str">
        <f t="shared" si="4"/>
        <v>office</v>
      </c>
    </row>
    <row r="42" spans="1:5">
      <c r="A42" s="73" t="s">
        <v>79</v>
      </c>
      <c r="B42" s="70" t="s">
        <v>585</v>
      </c>
      <c r="C42" s="76"/>
      <c r="D42" s="70" t="s">
        <v>586</v>
      </c>
      <c r="E42" s="76" t="str">
        <f t="shared" si="4"/>
        <v>training</v>
      </c>
    </row>
    <row r="43" spans="1:5">
      <c r="A43" s="73"/>
      <c r="B43" s="70"/>
      <c r="C43" s="76"/>
      <c r="D43" s="70"/>
      <c r="E43" s="76"/>
    </row>
    <row r="44" spans="1:5">
      <c r="A44" s="73" t="s">
        <v>90</v>
      </c>
      <c r="B44" s="70" t="s">
        <v>547</v>
      </c>
      <c r="C44" s="76"/>
      <c r="D44" s="70" t="s">
        <v>587</v>
      </c>
      <c r="E44" s="76" t="str">
        <f>MID(B44,2,5)</f>
        <v>agpur</v>
      </c>
    </row>
    <row r="45" spans="1:5">
      <c r="A45" s="73" t="s">
        <v>90</v>
      </c>
      <c r="B45" s="70" t="s">
        <v>534</v>
      </c>
      <c r="C45" s="76"/>
      <c r="D45" s="70" t="s">
        <v>588</v>
      </c>
      <c r="E45" s="76" t="str">
        <f>MID(B45,1,3)</f>
        <v>Man</v>
      </c>
    </row>
    <row r="46" spans="1:5">
      <c r="A46" s="73" t="s">
        <v>90</v>
      </c>
      <c r="B46" s="70" t="s">
        <v>549</v>
      </c>
      <c r="C46" s="76"/>
      <c r="D46" s="70" t="s">
        <v>589</v>
      </c>
      <c r="E46" s="76" t="str">
        <f>MID(B46,2,5)</f>
        <v>xcel</v>
      </c>
    </row>
    <row r="47" spans="1:5">
      <c r="A47" s="73" t="s">
        <v>90</v>
      </c>
      <c r="B47" s="70" t="s">
        <v>551</v>
      </c>
      <c r="C47" s="76"/>
      <c r="D47" s="70" t="s">
        <v>590</v>
      </c>
      <c r="E47" s="76" t="str">
        <f>MID(B47,3,5)</f>
        <v>fice</v>
      </c>
    </row>
    <row r="48" spans="1:5">
      <c r="A48" s="73" t="s">
        <v>90</v>
      </c>
      <c r="B48" s="70" t="s">
        <v>554</v>
      </c>
      <c r="C48" s="76"/>
      <c r="D48" s="70" t="s">
        <v>591</v>
      </c>
      <c r="E48" s="76" t="str">
        <f>MID(B48,2,4)</f>
        <v>mplo</v>
      </c>
    </row>
    <row r="49" spans="1:5">
      <c r="A49" s="73"/>
      <c r="B49" s="70"/>
      <c r="C49" s="76"/>
      <c r="D49" s="70"/>
      <c r="E49" s="76"/>
    </row>
    <row r="50" spans="1:5">
      <c r="A50" s="73" t="s">
        <v>101</v>
      </c>
      <c r="B50" s="70" t="s">
        <v>592</v>
      </c>
      <c r="C50" s="76"/>
      <c r="D50" s="70" t="s">
        <v>593</v>
      </c>
      <c r="E50" s="76" t="str">
        <f t="shared" ref="E50:E54" si="5">PROPER(B50)</f>
        <v>Excel</v>
      </c>
    </row>
    <row r="51" spans="1:5">
      <c r="A51" s="73" t="s">
        <v>101</v>
      </c>
      <c r="B51" s="70" t="s">
        <v>594</v>
      </c>
      <c r="C51" s="76"/>
      <c r="D51" s="70" t="s">
        <v>595</v>
      </c>
      <c r="E51" s="76" t="str">
        <f t="shared" si="5"/>
        <v>Hr Manager</v>
      </c>
    </row>
    <row r="52" spans="1:5">
      <c r="A52" s="73" t="s">
        <v>101</v>
      </c>
      <c r="B52" s="70" t="s">
        <v>596</v>
      </c>
      <c r="C52" s="76"/>
      <c r="D52" s="70" t="s">
        <v>597</v>
      </c>
      <c r="E52" s="76" t="str">
        <f t="shared" si="5"/>
        <v>Excel Training</v>
      </c>
    </row>
    <row r="53" spans="1:5">
      <c r="A53" s="73" t="s">
        <v>101</v>
      </c>
      <c r="B53" s="70" t="s">
        <v>598</v>
      </c>
      <c r="C53" s="76"/>
      <c r="D53" s="70" t="s">
        <v>599</v>
      </c>
      <c r="E53" s="76" t="str">
        <f t="shared" si="5"/>
        <v>Data Analyst</v>
      </c>
    </row>
    <row r="54" spans="1:5">
      <c r="A54" s="73" t="s">
        <v>101</v>
      </c>
      <c r="B54" s="70" t="s">
        <v>600</v>
      </c>
      <c r="C54" s="76"/>
      <c r="D54" s="70" t="s">
        <v>601</v>
      </c>
      <c r="E54" s="76" t="str">
        <f t="shared" si="5"/>
        <v>Women Day</v>
      </c>
    </row>
    <row r="55" spans="1:5">
      <c r="A55" s="73"/>
      <c r="B55" s="70"/>
      <c r="C55" s="76"/>
      <c r="D55" s="70"/>
      <c r="E55" s="76"/>
    </row>
    <row r="56" spans="1:5">
      <c r="A56" s="73" t="s">
        <v>123</v>
      </c>
      <c r="B56" s="70" t="s">
        <v>547</v>
      </c>
      <c r="C56" s="76"/>
      <c r="D56" s="70" t="s">
        <v>602</v>
      </c>
      <c r="E56" s="76" t="str">
        <f t="shared" ref="E56:E57" si="6">RIGHT(B56,3)</f>
        <v>pur</v>
      </c>
    </row>
    <row r="57" spans="1:5">
      <c r="A57" s="73" t="s">
        <v>123</v>
      </c>
      <c r="B57" s="70" t="s">
        <v>534</v>
      </c>
      <c r="C57" s="76"/>
      <c r="D57" s="70" t="s">
        <v>603</v>
      </c>
      <c r="E57" s="76" t="str">
        <f t="shared" si="6"/>
        <v>ger</v>
      </c>
    </row>
    <row r="58" spans="1:5">
      <c r="A58" s="73" t="s">
        <v>123</v>
      </c>
      <c r="B58" s="70" t="s">
        <v>549</v>
      </c>
      <c r="C58" s="76"/>
      <c r="D58" s="70" t="s">
        <v>604</v>
      </c>
      <c r="E58" s="76" t="str">
        <f>RIGHT(B58,2)</f>
        <v>el</v>
      </c>
    </row>
    <row r="59" spans="1:5">
      <c r="A59" s="73" t="s">
        <v>123</v>
      </c>
      <c r="B59" s="70" t="s">
        <v>551</v>
      </c>
      <c r="C59" s="76"/>
      <c r="D59" s="70" t="s">
        <v>605</v>
      </c>
      <c r="E59" s="76" t="str">
        <f>RIGHT(B59,4)</f>
        <v>fice</v>
      </c>
    </row>
    <row r="60" spans="1:5">
      <c r="A60" s="73" t="s">
        <v>123</v>
      </c>
      <c r="B60" s="70" t="s">
        <v>554</v>
      </c>
      <c r="C60" s="76"/>
      <c r="D60" s="70" t="s">
        <v>606</v>
      </c>
      <c r="E60" s="76" t="str">
        <f>RIGHT(B60,3)</f>
        <v>yee</v>
      </c>
    </row>
    <row r="61" spans="1:5">
      <c r="A61" s="73"/>
      <c r="B61" s="70"/>
      <c r="C61" s="76"/>
      <c r="D61" s="70"/>
      <c r="E61" s="76"/>
    </row>
    <row r="62" spans="1:5">
      <c r="A62" s="73" t="s">
        <v>112</v>
      </c>
      <c r="B62" s="70" t="s">
        <v>549</v>
      </c>
      <c r="C62" s="76"/>
      <c r="D62" s="70" t="s">
        <v>607</v>
      </c>
      <c r="E62" s="76" t="str">
        <f>REPLACE(B62,1,4,"penci")</f>
        <v>pencil</v>
      </c>
    </row>
    <row r="63" spans="1:5">
      <c r="A63" s="73" t="s">
        <v>112</v>
      </c>
      <c r="B63" s="70" t="s">
        <v>547</v>
      </c>
      <c r="C63" s="76"/>
      <c r="D63" s="70" t="s">
        <v>608</v>
      </c>
      <c r="E63" s="76" t="str">
        <f>REPLACE(B63,1,3,"kan")</f>
        <v>kanpur</v>
      </c>
    </row>
    <row r="64" spans="1:5">
      <c r="A64" s="73" t="s">
        <v>112</v>
      </c>
      <c r="B64" s="70" t="s">
        <v>609</v>
      </c>
      <c r="C64" s="76"/>
      <c r="D64" s="70" t="s">
        <v>610</v>
      </c>
      <c r="E64" s="76" t="str">
        <f>REPLACE(B64,1,5,"februa")</f>
        <v>february</v>
      </c>
    </row>
    <row r="65" spans="1:5">
      <c r="A65" s="73" t="s">
        <v>112</v>
      </c>
      <c r="B65" s="70" t="s">
        <v>611</v>
      </c>
      <c r="C65" s="76"/>
      <c r="D65" s="70" t="s">
        <v>612</v>
      </c>
      <c r="E65" s="76" t="str">
        <f>REPLACE(B65,4,8,"box")</f>
        <v>Icebox</v>
      </c>
    </row>
    <row r="66" spans="1:5">
      <c r="A66" s="73" t="s">
        <v>112</v>
      </c>
      <c r="B66" s="70" t="s">
        <v>613</v>
      </c>
      <c r="C66" s="76"/>
      <c r="D66" s="70" t="s">
        <v>614</v>
      </c>
      <c r="E66" s="76" t="str">
        <f>REPLACE(B66,1,5,"Employee")</f>
        <v>Employee Data</v>
      </c>
    </row>
    <row r="67" spans="1:5">
      <c r="A67" s="73"/>
      <c r="B67" s="70"/>
      <c r="C67" s="76"/>
      <c r="D67" s="70"/>
      <c r="E67" s="76"/>
    </row>
    <row r="68" spans="1:5">
      <c r="A68" s="73" t="s">
        <v>134</v>
      </c>
      <c r="B68" s="70" t="s">
        <v>592</v>
      </c>
      <c r="C68" s="76"/>
      <c r="D68" s="70" t="s">
        <v>615</v>
      </c>
      <c r="E68" s="76" t="str">
        <f t="shared" ref="E68:E72" si="7">UPPER(B68)</f>
        <v>EXCEL</v>
      </c>
    </row>
    <row r="69" spans="1:5">
      <c r="A69" s="73" t="s">
        <v>134</v>
      </c>
      <c r="B69" s="70" t="s">
        <v>594</v>
      </c>
      <c r="C69" s="76"/>
      <c r="D69" s="70" t="s">
        <v>616</v>
      </c>
      <c r="E69" s="76" t="str">
        <f t="shared" si="7"/>
        <v>HR MANAGER</v>
      </c>
    </row>
    <row r="70" spans="1:5">
      <c r="A70" s="73" t="s">
        <v>134</v>
      </c>
      <c r="B70" s="70" t="s">
        <v>562</v>
      </c>
      <c r="C70" s="76"/>
      <c r="D70" s="70" t="s">
        <v>617</v>
      </c>
      <c r="E70" s="76" t="str">
        <f t="shared" si="7"/>
        <v>NAGPUR</v>
      </c>
    </row>
    <row r="71" spans="1:5">
      <c r="A71" s="73" t="s">
        <v>134</v>
      </c>
      <c r="B71" s="70" t="s">
        <v>618</v>
      </c>
      <c r="C71" s="76"/>
      <c r="D71" s="70" t="s">
        <v>619</v>
      </c>
      <c r="E71" s="76" t="str">
        <f t="shared" si="7"/>
        <v>OFFICE</v>
      </c>
    </row>
    <row r="72" spans="1:5">
      <c r="A72" s="73" t="s">
        <v>134</v>
      </c>
      <c r="B72" s="70" t="s">
        <v>620</v>
      </c>
      <c r="C72" s="76"/>
      <c r="D72" s="70" t="s">
        <v>621</v>
      </c>
      <c r="E72" s="76" t="str">
        <f t="shared" si="7"/>
        <v>TRAINING</v>
      </c>
    </row>
    <row r="73" spans="1:5">
      <c r="B73" s="77"/>
      <c r="C73" s="77"/>
      <c r="D73" s="77"/>
      <c r="E73" s="77"/>
    </row>
    <row r="74" spans="1:5">
      <c r="B74" s="77"/>
      <c r="C74" s="77"/>
      <c r="D74" s="77"/>
      <c r="E74" s="77"/>
    </row>
    <row r="75" spans="1:5">
      <c r="B75" s="77"/>
      <c r="C75" s="77"/>
      <c r="D75" s="77"/>
      <c r="E75" s="77"/>
    </row>
    <row r="76" spans="1:5">
      <c r="B76" s="77"/>
      <c r="C76" s="77"/>
      <c r="D76" s="77"/>
      <c r="E76" s="77"/>
    </row>
    <row r="77" spans="1:5">
      <c r="B77" s="77"/>
      <c r="C77" s="77"/>
      <c r="D77" s="77"/>
      <c r="E77" s="77"/>
    </row>
    <row r="78" spans="1:5">
      <c r="B78" s="77"/>
      <c r="C78" s="77"/>
      <c r="D78" s="77"/>
      <c r="E78" s="77"/>
    </row>
    <row r="79" spans="1:5">
      <c r="B79" s="77"/>
      <c r="C79" s="77"/>
      <c r="D79" s="77"/>
      <c r="E79" s="77"/>
    </row>
    <row r="80" spans="1:5">
      <c r="B80" s="77"/>
      <c r="C80" s="77"/>
      <c r="D80" s="77"/>
      <c r="E80" s="77"/>
    </row>
    <row r="81" spans="2:5">
      <c r="B81" s="77"/>
      <c r="C81" s="77"/>
      <c r="D81" s="77"/>
      <c r="E81" s="77"/>
    </row>
    <row r="82" spans="2:5">
      <c r="B82" s="77"/>
      <c r="C82" s="77"/>
      <c r="D82" s="77"/>
      <c r="E82" s="77"/>
    </row>
    <row r="83" spans="2:5">
      <c r="B83" s="77"/>
      <c r="C83" s="77"/>
      <c r="D83" s="77"/>
      <c r="E83" s="77"/>
    </row>
    <row r="84" spans="2:5">
      <c r="B84" s="77"/>
      <c r="C84" s="77"/>
      <c r="D84" s="77"/>
      <c r="E84" s="77"/>
    </row>
    <row r="85" spans="2:5">
      <c r="B85" s="77"/>
      <c r="C85" s="77"/>
      <c r="D85" s="77"/>
      <c r="E85" s="77"/>
    </row>
    <row r="86" spans="2:5">
      <c r="B86" s="77"/>
      <c r="C86" s="77"/>
      <c r="D86" s="77"/>
      <c r="E86" s="77"/>
    </row>
    <row r="87" spans="2:5">
      <c r="B87" s="77"/>
      <c r="C87" s="77"/>
      <c r="D87" s="77"/>
      <c r="E87" s="77"/>
    </row>
    <row r="88" spans="2:5">
      <c r="B88" s="77"/>
      <c r="C88" s="77"/>
      <c r="D88" s="77"/>
      <c r="E88" s="77"/>
    </row>
    <row r="89" spans="2:5">
      <c r="B89" s="77"/>
      <c r="C89" s="77"/>
      <c r="D89" s="77"/>
      <c r="E89" s="77"/>
    </row>
    <row r="90" spans="2:5">
      <c r="B90" s="77"/>
      <c r="C90" s="77"/>
      <c r="D90" s="77"/>
      <c r="E90" s="77"/>
    </row>
    <row r="91" spans="2:5">
      <c r="B91" s="77"/>
      <c r="C91" s="77"/>
      <c r="D91" s="77"/>
      <c r="E91" s="77"/>
    </row>
    <row r="92" spans="2:5">
      <c r="B92" s="77"/>
      <c r="C92" s="77"/>
      <c r="D92" s="77"/>
      <c r="E92" s="77"/>
    </row>
    <row r="93" spans="2:5">
      <c r="B93" s="77"/>
      <c r="C93" s="77"/>
      <c r="D93" s="77"/>
      <c r="E93" s="77"/>
    </row>
    <row r="94" spans="2:5">
      <c r="B94" s="77"/>
      <c r="C94" s="77"/>
      <c r="D94" s="77"/>
      <c r="E94" s="77"/>
    </row>
    <row r="95" spans="2:5">
      <c r="B95" s="77"/>
      <c r="C95" s="77"/>
      <c r="D95" s="77"/>
      <c r="E95" s="77"/>
    </row>
    <row r="96" spans="2:5">
      <c r="B96" s="77"/>
      <c r="C96" s="77"/>
      <c r="D96" s="77"/>
      <c r="E96" s="77"/>
    </row>
    <row r="97" spans="2:5">
      <c r="B97" s="77"/>
      <c r="C97" s="77"/>
      <c r="D97" s="77"/>
      <c r="E97" s="77"/>
    </row>
    <row r="98" spans="2:5">
      <c r="B98" s="77"/>
      <c r="C98" s="77"/>
      <c r="D98" s="77"/>
      <c r="E98" s="77"/>
    </row>
    <row r="99" spans="2:5">
      <c r="B99" s="77"/>
      <c r="C99" s="77"/>
      <c r="D99" s="77"/>
      <c r="E99" s="77"/>
    </row>
    <row r="100" spans="2:5">
      <c r="B100" s="77"/>
      <c r="C100" s="77"/>
      <c r="D100" s="77"/>
      <c r="E100" s="77"/>
    </row>
    <row r="101" spans="2:5">
      <c r="B101" s="77"/>
      <c r="C101" s="77"/>
      <c r="D101" s="77"/>
      <c r="E101" s="77"/>
    </row>
    <row r="102" spans="2:5">
      <c r="B102" s="77"/>
      <c r="C102" s="77"/>
      <c r="D102" s="77"/>
      <c r="E102" s="77"/>
    </row>
    <row r="103" spans="2:5">
      <c r="B103" s="77"/>
      <c r="C103" s="77"/>
      <c r="D103" s="77"/>
      <c r="E103" s="77"/>
    </row>
    <row r="104" spans="2:5">
      <c r="B104" s="77"/>
      <c r="C104" s="77"/>
      <c r="D104" s="77"/>
      <c r="E104" s="77"/>
    </row>
    <row r="105" spans="2:5">
      <c r="B105" s="77"/>
      <c r="C105" s="77"/>
      <c r="D105" s="77"/>
      <c r="E105" s="77"/>
    </row>
    <row r="106" spans="2:5">
      <c r="B106" s="77"/>
      <c r="C106" s="77"/>
      <c r="D106" s="77"/>
      <c r="E106" s="77"/>
    </row>
    <row r="107" spans="2:5">
      <c r="B107" s="77"/>
      <c r="C107" s="77"/>
      <c r="D107" s="77"/>
      <c r="E107" s="77"/>
    </row>
    <row r="108" spans="2:5">
      <c r="B108" s="77"/>
      <c r="C108" s="77"/>
      <c r="D108" s="77"/>
      <c r="E108" s="77"/>
    </row>
    <row r="109" spans="2:5">
      <c r="B109" s="77"/>
      <c r="C109" s="77"/>
      <c r="D109" s="77"/>
      <c r="E109" s="77"/>
    </row>
    <row r="110" spans="2:5">
      <c r="B110" s="77"/>
      <c r="C110" s="77"/>
      <c r="D110" s="77"/>
      <c r="E110" s="77"/>
    </row>
    <row r="111" spans="2:5">
      <c r="B111" s="77"/>
      <c r="C111" s="77"/>
      <c r="D111" s="77"/>
      <c r="E111" s="77"/>
    </row>
    <row r="112" spans="2:5">
      <c r="B112" s="77"/>
      <c r="C112" s="77"/>
      <c r="D112" s="77"/>
      <c r="E112" s="77"/>
    </row>
    <row r="113" spans="2:5">
      <c r="B113" s="77"/>
      <c r="C113" s="77"/>
      <c r="D113" s="77"/>
      <c r="E113" s="77"/>
    </row>
    <row r="114" spans="2:5">
      <c r="B114" s="77"/>
      <c r="C114" s="77"/>
      <c r="D114" s="77"/>
      <c r="E114" s="77"/>
    </row>
    <row r="115" spans="2:5">
      <c r="B115" s="77"/>
      <c r="C115" s="77"/>
      <c r="D115" s="77"/>
      <c r="E115" s="77"/>
    </row>
    <row r="116" spans="2:5">
      <c r="B116" s="77"/>
      <c r="C116" s="77"/>
      <c r="D116" s="77"/>
      <c r="E116" s="77"/>
    </row>
    <row r="117" spans="2:5">
      <c r="B117" s="77"/>
      <c r="C117" s="77"/>
      <c r="D117" s="77"/>
      <c r="E117" s="77"/>
    </row>
    <row r="118" spans="2:5">
      <c r="B118" s="77"/>
      <c r="C118" s="77"/>
      <c r="D118" s="77"/>
      <c r="E118" s="77"/>
    </row>
    <row r="119" spans="2:5">
      <c r="B119" s="77"/>
      <c r="C119" s="77"/>
      <c r="D119" s="77"/>
      <c r="E119" s="77"/>
    </row>
    <row r="120" spans="2:5">
      <c r="B120" s="77"/>
      <c r="C120" s="77"/>
      <c r="D120" s="77"/>
      <c r="E120" s="77"/>
    </row>
    <row r="121" spans="2:5">
      <c r="B121" s="77"/>
      <c r="C121" s="77"/>
      <c r="D121" s="77"/>
      <c r="E121" s="77"/>
    </row>
    <row r="122" spans="2:5">
      <c r="B122" s="77"/>
      <c r="C122" s="77"/>
      <c r="D122" s="77"/>
      <c r="E122" s="77"/>
    </row>
    <row r="123" spans="2:5">
      <c r="B123" s="77"/>
      <c r="C123" s="77"/>
      <c r="D123" s="77"/>
      <c r="E123" s="77"/>
    </row>
    <row r="124" spans="2:5">
      <c r="B124" s="77"/>
      <c r="C124" s="77"/>
      <c r="D124" s="77"/>
      <c r="E124" s="77"/>
    </row>
    <row r="125" spans="2:5">
      <c r="B125" s="77"/>
      <c r="C125" s="77"/>
      <c r="D125" s="77"/>
      <c r="E125" s="77"/>
    </row>
    <row r="126" spans="2:5">
      <c r="B126" s="77"/>
      <c r="C126" s="77"/>
      <c r="D126" s="77"/>
      <c r="E126" s="77"/>
    </row>
    <row r="127" spans="2:5">
      <c r="B127" s="77"/>
      <c r="C127" s="77"/>
      <c r="D127" s="77"/>
      <c r="E127" s="77"/>
    </row>
    <row r="128" spans="2:5">
      <c r="B128" s="77"/>
      <c r="C128" s="77"/>
      <c r="D128" s="77"/>
      <c r="E128" s="77"/>
    </row>
    <row r="129" spans="2:5">
      <c r="B129" s="77"/>
      <c r="C129" s="77"/>
      <c r="D129" s="77"/>
      <c r="E129" s="77"/>
    </row>
    <row r="130" spans="2:5">
      <c r="B130" s="77"/>
      <c r="C130" s="77"/>
      <c r="D130" s="77"/>
      <c r="E130" s="77"/>
    </row>
    <row r="131" spans="2:5">
      <c r="B131" s="77"/>
      <c r="C131" s="77"/>
      <c r="D131" s="77"/>
      <c r="E131" s="77"/>
    </row>
    <row r="132" spans="2:5">
      <c r="B132" s="77"/>
      <c r="C132" s="77"/>
      <c r="D132" s="77"/>
      <c r="E132" s="77"/>
    </row>
    <row r="133" spans="2:5">
      <c r="B133" s="77"/>
      <c r="C133" s="77"/>
      <c r="D133" s="77"/>
      <c r="E133" s="77"/>
    </row>
    <row r="134" spans="2:5">
      <c r="B134" s="77"/>
      <c r="C134" s="77"/>
      <c r="D134" s="77"/>
      <c r="E134" s="77"/>
    </row>
    <row r="135" spans="2:5">
      <c r="B135" s="77"/>
      <c r="C135" s="77"/>
      <c r="D135" s="77"/>
      <c r="E135" s="77"/>
    </row>
    <row r="136" spans="2:5">
      <c r="B136" s="77"/>
      <c r="C136" s="77"/>
      <c r="D136" s="77"/>
      <c r="E136" s="77"/>
    </row>
    <row r="137" spans="2:5">
      <c r="B137" s="77"/>
      <c r="C137" s="77"/>
      <c r="D137" s="77"/>
      <c r="E137" s="77"/>
    </row>
    <row r="138" spans="2:5">
      <c r="B138" s="77"/>
      <c r="C138" s="77"/>
      <c r="D138" s="77"/>
      <c r="E138" s="77"/>
    </row>
    <row r="139" spans="2:5">
      <c r="B139" s="77"/>
      <c r="C139" s="77"/>
      <c r="D139" s="77"/>
      <c r="E139" s="77"/>
    </row>
    <row r="140" spans="2:5">
      <c r="B140" s="77"/>
      <c r="C140" s="77"/>
      <c r="D140" s="77"/>
      <c r="E140" s="77"/>
    </row>
    <row r="141" spans="2:5">
      <c r="B141" s="77"/>
      <c r="C141" s="77"/>
      <c r="D141" s="77"/>
      <c r="E141" s="77"/>
    </row>
    <row r="142" spans="2:5">
      <c r="B142" s="77"/>
      <c r="C142" s="77"/>
      <c r="D142" s="77"/>
      <c r="E142" s="77"/>
    </row>
    <row r="143" spans="2:5">
      <c r="B143" s="77"/>
      <c r="C143" s="77"/>
      <c r="D143" s="77"/>
      <c r="E143" s="77"/>
    </row>
    <row r="144" spans="2:5">
      <c r="B144" s="77"/>
      <c r="C144" s="77"/>
      <c r="D144" s="77"/>
      <c r="E144" s="77"/>
    </row>
    <row r="145" spans="2:5">
      <c r="B145" s="77"/>
      <c r="C145" s="77"/>
      <c r="D145" s="77"/>
      <c r="E145" s="77"/>
    </row>
    <row r="146" spans="2:5">
      <c r="B146" s="77"/>
      <c r="C146" s="77"/>
      <c r="D146" s="77"/>
      <c r="E146" s="77"/>
    </row>
    <row r="147" spans="2:5">
      <c r="B147" s="77"/>
      <c r="C147" s="77"/>
      <c r="D147" s="77"/>
      <c r="E147" s="77"/>
    </row>
    <row r="148" spans="2:5">
      <c r="B148" s="77"/>
      <c r="C148" s="77"/>
      <c r="D148" s="77"/>
      <c r="E148" s="77"/>
    </row>
    <row r="149" spans="2:5">
      <c r="B149" s="77"/>
      <c r="C149" s="77"/>
      <c r="D149" s="77"/>
      <c r="E149" s="77"/>
    </row>
    <row r="150" spans="2:5">
      <c r="B150" s="77"/>
      <c r="C150" s="77"/>
      <c r="D150" s="77"/>
      <c r="E150" s="77"/>
    </row>
    <row r="151" spans="2:5">
      <c r="B151" s="77"/>
      <c r="C151" s="77"/>
      <c r="D151" s="77"/>
      <c r="E151" s="77"/>
    </row>
    <row r="152" spans="2:5">
      <c r="B152" s="77"/>
      <c r="C152" s="77"/>
      <c r="D152" s="77"/>
      <c r="E152" s="77"/>
    </row>
    <row r="153" spans="2:5">
      <c r="B153" s="77"/>
      <c r="C153" s="77"/>
      <c r="D153" s="77"/>
      <c r="E153" s="77"/>
    </row>
    <row r="154" spans="2:5">
      <c r="B154" s="77"/>
      <c r="C154" s="77"/>
      <c r="D154" s="77"/>
      <c r="E154" s="77"/>
    </row>
    <row r="155" spans="2:5">
      <c r="B155" s="77"/>
      <c r="C155" s="77"/>
      <c r="D155" s="77"/>
      <c r="E155" s="77"/>
    </row>
    <row r="156" spans="2:5">
      <c r="B156" s="77"/>
      <c r="C156" s="77"/>
      <c r="D156" s="77"/>
      <c r="E156" s="77"/>
    </row>
    <row r="157" spans="2:5">
      <c r="B157" s="77"/>
      <c r="C157" s="77"/>
      <c r="D157" s="77"/>
      <c r="E157" s="77"/>
    </row>
    <row r="158" spans="2:5">
      <c r="B158" s="77"/>
      <c r="C158" s="77"/>
      <c r="D158" s="77"/>
      <c r="E158" s="77"/>
    </row>
    <row r="159" spans="2:5">
      <c r="B159" s="77"/>
      <c r="C159" s="77"/>
      <c r="D159" s="77"/>
      <c r="E159" s="77"/>
    </row>
    <row r="160" spans="2:5">
      <c r="B160" s="77"/>
      <c r="C160" s="77"/>
      <c r="D160" s="77"/>
      <c r="E160" s="77"/>
    </row>
    <row r="161" spans="2:5">
      <c r="B161" s="77"/>
      <c r="C161" s="77"/>
      <c r="D161" s="77"/>
      <c r="E161" s="77"/>
    </row>
    <row r="162" spans="2:5">
      <c r="B162" s="77"/>
      <c r="C162" s="77"/>
      <c r="D162" s="77"/>
      <c r="E162" s="77"/>
    </row>
    <row r="163" spans="2:5">
      <c r="B163" s="77"/>
      <c r="C163" s="77"/>
      <c r="D163" s="77"/>
      <c r="E163" s="77"/>
    </row>
    <row r="164" spans="2:5">
      <c r="B164" s="77"/>
      <c r="C164" s="77"/>
      <c r="D164" s="77"/>
      <c r="E164" s="77"/>
    </row>
    <row r="165" spans="2:5">
      <c r="B165" s="77"/>
      <c r="C165" s="77"/>
      <c r="D165" s="77"/>
      <c r="E165" s="77"/>
    </row>
    <row r="166" spans="2:5">
      <c r="B166" s="77"/>
      <c r="C166" s="77"/>
      <c r="D166" s="77"/>
      <c r="E166" s="77"/>
    </row>
    <row r="167" spans="2:5">
      <c r="B167" s="77"/>
      <c r="C167" s="77"/>
      <c r="D167" s="77"/>
      <c r="E167" s="77"/>
    </row>
    <row r="168" spans="2:5">
      <c r="B168" s="77"/>
      <c r="C168" s="77"/>
      <c r="D168" s="77"/>
      <c r="E168" s="77"/>
    </row>
    <row r="169" spans="2:5">
      <c r="B169" s="77"/>
      <c r="C169" s="77"/>
      <c r="D169" s="77"/>
      <c r="E169" s="77"/>
    </row>
    <row r="170" spans="2:5">
      <c r="B170" s="77"/>
      <c r="C170" s="77"/>
      <c r="D170" s="77"/>
      <c r="E170" s="77"/>
    </row>
    <row r="171" spans="2:5">
      <c r="B171" s="77"/>
      <c r="C171" s="77"/>
      <c r="D171" s="77"/>
      <c r="E171" s="77"/>
    </row>
    <row r="172" spans="2:5">
      <c r="B172" s="77"/>
      <c r="C172" s="77"/>
      <c r="D172" s="77"/>
      <c r="E172" s="77"/>
    </row>
    <row r="173" spans="2:5">
      <c r="B173" s="77"/>
      <c r="C173" s="77"/>
      <c r="D173" s="77"/>
      <c r="E173" s="77"/>
    </row>
    <row r="174" spans="2:5">
      <c r="B174" s="77"/>
      <c r="C174" s="77"/>
      <c r="D174" s="77"/>
      <c r="E174" s="77"/>
    </row>
    <row r="175" spans="2:5">
      <c r="B175" s="77"/>
      <c r="C175" s="77"/>
      <c r="D175" s="77"/>
      <c r="E175" s="77"/>
    </row>
    <row r="176" spans="2:5">
      <c r="B176" s="77"/>
      <c r="C176" s="77"/>
      <c r="D176" s="77"/>
      <c r="E176" s="77"/>
    </row>
    <row r="177" spans="2:5">
      <c r="B177" s="77"/>
      <c r="C177" s="77"/>
      <c r="D177" s="77"/>
      <c r="E177" s="77"/>
    </row>
    <row r="178" spans="2:5">
      <c r="B178" s="77"/>
      <c r="C178" s="77"/>
      <c r="D178" s="77"/>
      <c r="E178" s="77"/>
    </row>
    <row r="179" spans="2:5">
      <c r="B179" s="77"/>
      <c r="C179" s="77"/>
      <c r="D179" s="77"/>
      <c r="E179" s="77"/>
    </row>
    <row r="180" spans="2:5">
      <c r="B180" s="77"/>
      <c r="C180" s="77"/>
      <c r="D180" s="77"/>
      <c r="E180" s="77"/>
    </row>
    <row r="181" spans="2:5">
      <c r="B181" s="77"/>
      <c r="C181" s="77"/>
      <c r="D181" s="77"/>
      <c r="E181" s="77"/>
    </row>
    <row r="182" spans="2:5">
      <c r="B182" s="77"/>
      <c r="C182" s="77"/>
      <c r="D182" s="77"/>
      <c r="E182" s="77"/>
    </row>
    <row r="183" spans="2:5">
      <c r="B183" s="77"/>
      <c r="C183" s="77"/>
      <c r="D183" s="77"/>
      <c r="E183" s="77"/>
    </row>
    <row r="184" spans="2:5">
      <c r="B184" s="77"/>
      <c r="C184" s="77"/>
      <c r="D184" s="77"/>
      <c r="E184" s="77"/>
    </row>
    <row r="185" spans="2:5">
      <c r="B185" s="77"/>
      <c r="C185" s="77"/>
      <c r="D185" s="77"/>
      <c r="E185" s="77"/>
    </row>
    <row r="186" spans="2:5">
      <c r="B186" s="77"/>
      <c r="C186" s="77"/>
      <c r="D186" s="77"/>
      <c r="E186" s="77"/>
    </row>
    <row r="187" spans="2:5">
      <c r="B187" s="77"/>
      <c r="C187" s="77"/>
      <c r="D187" s="77"/>
      <c r="E187" s="77"/>
    </row>
    <row r="188" spans="2:5">
      <c r="B188" s="77"/>
      <c r="C188" s="77"/>
      <c r="D188" s="77"/>
      <c r="E188" s="77"/>
    </row>
    <row r="189" spans="2:5">
      <c r="B189" s="77"/>
      <c r="C189" s="77"/>
      <c r="D189" s="77"/>
      <c r="E189" s="77"/>
    </row>
    <row r="190" spans="2:5">
      <c r="B190" s="77"/>
      <c r="C190" s="77"/>
      <c r="D190" s="77"/>
      <c r="E190" s="77"/>
    </row>
    <row r="191" spans="2:5">
      <c r="B191" s="77"/>
      <c r="C191" s="77"/>
      <c r="D191" s="77"/>
      <c r="E191" s="77"/>
    </row>
    <row r="192" spans="2:5">
      <c r="B192" s="77"/>
      <c r="C192" s="77"/>
      <c r="D192" s="77"/>
      <c r="E192" s="77"/>
    </row>
    <row r="193" spans="2:5">
      <c r="B193" s="77"/>
      <c r="C193" s="77"/>
      <c r="D193" s="77"/>
      <c r="E193" s="77"/>
    </row>
    <row r="194" spans="2:5">
      <c r="B194" s="77"/>
      <c r="C194" s="77"/>
      <c r="D194" s="77"/>
      <c r="E194" s="77"/>
    </row>
    <row r="195" spans="2:5">
      <c r="B195" s="77"/>
      <c r="C195" s="77"/>
      <c r="D195" s="77"/>
      <c r="E195" s="77"/>
    </row>
    <row r="196" spans="2:5">
      <c r="B196" s="77"/>
      <c r="C196" s="77"/>
      <c r="D196" s="77"/>
      <c r="E196" s="77"/>
    </row>
    <row r="197" spans="2:5">
      <c r="B197" s="77"/>
      <c r="C197" s="77"/>
      <c r="D197" s="77"/>
      <c r="E197" s="77"/>
    </row>
    <row r="198" spans="2:5">
      <c r="B198" s="77"/>
      <c r="C198" s="77"/>
      <c r="D198" s="77"/>
      <c r="E198" s="77"/>
    </row>
    <row r="199" spans="2:5">
      <c r="B199" s="77"/>
      <c r="C199" s="77"/>
      <c r="D199" s="77"/>
      <c r="E199" s="77"/>
    </row>
    <row r="200" spans="2:5">
      <c r="B200" s="77"/>
      <c r="C200" s="77"/>
      <c r="D200" s="77"/>
      <c r="E200" s="77"/>
    </row>
    <row r="201" spans="2:5">
      <c r="B201" s="77"/>
      <c r="C201" s="77"/>
      <c r="D201" s="77"/>
      <c r="E201" s="77"/>
    </row>
    <row r="202" spans="2:5">
      <c r="B202" s="77"/>
      <c r="C202" s="77"/>
      <c r="D202" s="77"/>
      <c r="E202" s="77"/>
    </row>
    <row r="203" spans="2:5">
      <c r="B203" s="77"/>
      <c r="C203" s="77"/>
      <c r="D203" s="77"/>
      <c r="E203" s="77"/>
    </row>
    <row r="204" spans="2:5">
      <c r="B204" s="77"/>
      <c r="C204" s="77"/>
      <c r="D204" s="77"/>
      <c r="E204" s="77"/>
    </row>
    <row r="205" spans="2:5">
      <c r="B205" s="77"/>
      <c r="C205" s="77"/>
      <c r="D205" s="77"/>
      <c r="E205" s="77"/>
    </row>
    <row r="206" spans="2:5">
      <c r="B206" s="77"/>
      <c r="C206" s="77"/>
      <c r="D206" s="77"/>
      <c r="E206" s="77"/>
    </row>
    <row r="207" spans="2:5">
      <c r="B207" s="77"/>
      <c r="C207" s="77"/>
      <c r="D207" s="77"/>
      <c r="E207" s="77"/>
    </row>
    <row r="208" spans="2:5">
      <c r="B208" s="77"/>
      <c r="C208" s="77"/>
      <c r="D208" s="77"/>
      <c r="E208" s="77"/>
    </row>
    <row r="209" spans="2:5">
      <c r="B209" s="77"/>
      <c r="C209" s="77"/>
      <c r="D209" s="77"/>
      <c r="E209" s="77"/>
    </row>
    <row r="210" spans="2:5">
      <c r="B210" s="77"/>
      <c r="C210" s="77"/>
      <c r="D210" s="77"/>
      <c r="E210" s="77"/>
    </row>
    <row r="211" spans="2:5">
      <c r="B211" s="77"/>
      <c r="C211" s="77"/>
      <c r="D211" s="77"/>
      <c r="E211" s="77"/>
    </row>
    <row r="212" spans="2:5">
      <c r="B212" s="77"/>
      <c r="C212" s="77"/>
      <c r="D212" s="77"/>
      <c r="E212" s="77"/>
    </row>
    <row r="213" spans="2:5">
      <c r="B213" s="77"/>
      <c r="C213" s="77"/>
      <c r="D213" s="77"/>
      <c r="E213" s="77"/>
    </row>
    <row r="214" spans="2:5">
      <c r="B214" s="77"/>
      <c r="C214" s="77"/>
      <c r="D214" s="77"/>
      <c r="E214" s="77"/>
    </row>
    <row r="215" spans="2:5">
      <c r="B215" s="77"/>
      <c r="C215" s="77"/>
      <c r="D215" s="77"/>
      <c r="E215" s="77"/>
    </row>
    <row r="216" spans="2:5">
      <c r="B216" s="77"/>
      <c r="C216" s="77"/>
      <c r="D216" s="77"/>
      <c r="E216" s="77"/>
    </row>
    <row r="217" spans="2:5">
      <c r="B217" s="77"/>
      <c r="C217" s="77"/>
      <c r="D217" s="77"/>
      <c r="E217" s="77"/>
    </row>
    <row r="218" spans="2:5">
      <c r="B218" s="77"/>
      <c r="C218" s="77"/>
      <c r="D218" s="77"/>
      <c r="E218" s="77"/>
    </row>
    <row r="219" spans="2:5">
      <c r="B219" s="77"/>
      <c r="C219" s="77"/>
      <c r="D219" s="77"/>
      <c r="E219" s="77"/>
    </row>
    <row r="220" spans="2:5">
      <c r="B220" s="77"/>
      <c r="C220" s="77"/>
      <c r="D220" s="77"/>
      <c r="E220" s="77"/>
    </row>
    <row r="221" spans="2:5">
      <c r="B221" s="77"/>
      <c r="C221" s="77"/>
      <c r="D221" s="77"/>
      <c r="E221" s="77"/>
    </row>
    <row r="222" spans="2:5">
      <c r="B222" s="77"/>
      <c r="C222" s="77"/>
      <c r="D222" s="77"/>
      <c r="E222" s="77"/>
    </row>
    <row r="223" spans="2:5">
      <c r="B223" s="77"/>
      <c r="C223" s="77"/>
      <c r="D223" s="77"/>
      <c r="E223" s="77"/>
    </row>
    <row r="224" spans="2:5">
      <c r="B224" s="77"/>
      <c r="C224" s="77"/>
      <c r="D224" s="77"/>
      <c r="E224" s="77"/>
    </row>
    <row r="225" spans="2:5">
      <c r="B225" s="77"/>
      <c r="C225" s="77"/>
      <c r="D225" s="77"/>
      <c r="E225" s="77"/>
    </row>
    <row r="226" spans="2:5">
      <c r="B226" s="77"/>
      <c r="C226" s="77"/>
      <c r="D226" s="77"/>
      <c r="E226" s="77"/>
    </row>
    <row r="227" spans="2:5">
      <c r="B227" s="77"/>
      <c r="C227" s="77"/>
      <c r="D227" s="77"/>
      <c r="E227" s="77"/>
    </row>
    <row r="228" spans="2:5">
      <c r="B228" s="77"/>
      <c r="C228" s="77"/>
      <c r="D228" s="77"/>
      <c r="E228" s="77"/>
    </row>
    <row r="229" spans="2:5">
      <c r="B229" s="77"/>
      <c r="C229" s="77"/>
      <c r="D229" s="77"/>
      <c r="E229" s="77"/>
    </row>
    <row r="230" spans="2:5">
      <c r="B230" s="77"/>
      <c r="C230" s="77"/>
      <c r="D230" s="77"/>
      <c r="E230" s="77"/>
    </row>
    <row r="231" spans="2:5">
      <c r="B231" s="77"/>
      <c r="C231" s="77"/>
      <c r="D231" s="77"/>
      <c r="E231" s="77"/>
    </row>
    <row r="232" spans="2:5">
      <c r="B232" s="77"/>
      <c r="C232" s="77"/>
      <c r="D232" s="77"/>
      <c r="E232" s="77"/>
    </row>
    <row r="233" spans="2:5">
      <c r="B233" s="77"/>
      <c r="C233" s="77"/>
      <c r="D233" s="77"/>
      <c r="E233" s="77"/>
    </row>
    <row r="234" spans="2:5">
      <c r="B234" s="77"/>
      <c r="C234" s="77"/>
      <c r="D234" s="77"/>
      <c r="E234" s="77"/>
    </row>
    <row r="235" spans="2:5">
      <c r="B235" s="77"/>
      <c r="C235" s="77"/>
      <c r="D235" s="77"/>
      <c r="E235" s="77"/>
    </row>
    <row r="236" spans="2:5">
      <c r="B236" s="77"/>
      <c r="C236" s="77"/>
      <c r="D236" s="77"/>
      <c r="E236" s="77"/>
    </row>
    <row r="237" spans="2:5">
      <c r="B237" s="77"/>
      <c r="C237" s="77"/>
      <c r="D237" s="77"/>
      <c r="E237" s="77"/>
    </row>
    <row r="238" spans="2:5">
      <c r="B238" s="77"/>
      <c r="C238" s="77"/>
      <c r="D238" s="77"/>
      <c r="E238" s="77"/>
    </row>
    <row r="239" spans="2:5">
      <c r="B239" s="77"/>
      <c r="C239" s="77"/>
      <c r="D239" s="77"/>
      <c r="E239" s="77"/>
    </row>
    <row r="240" spans="2:5">
      <c r="B240" s="77"/>
      <c r="C240" s="77"/>
      <c r="D240" s="77"/>
      <c r="E240" s="77"/>
    </row>
    <row r="241" spans="2:5">
      <c r="B241" s="77"/>
      <c r="C241" s="77"/>
      <c r="D241" s="77"/>
      <c r="E241" s="77"/>
    </row>
    <row r="242" spans="2:5">
      <c r="B242" s="77"/>
      <c r="C242" s="77"/>
      <c r="D242" s="77"/>
      <c r="E242" s="77"/>
    </row>
    <row r="243" spans="2:5">
      <c r="B243" s="77"/>
      <c r="C243" s="77"/>
      <c r="D243" s="77"/>
      <c r="E243" s="77"/>
    </row>
    <row r="244" spans="2:5">
      <c r="B244" s="77"/>
      <c r="C244" s="77"/>
      <c r="D244" s="77"/>
      <c r="E244" s="77"/>
    </row>
    <row r="245" spans="2:5">
      <c r="B245" s="77"/>
      <c r="C245" s="77"/>
      <c r="D245" s="77"/>
      <c r="E245" s="77"/>
    </row>
    <row r="246" spans="2:5">
      <c r="B246" s="77"/>
      <c r="C246" s="77"/>
      <c r="D246" s="77"/>
      <c r="E246" s="77"/>
    </row>
    <row r="247" spans="2:5">
      <c r="B247" s="77"/>
      <c r="C247" s="77"/>
      <c r="D247" s="77"/>
      <c r="E247" s="77"/>
    </row>
    <row r="248" spans="2:5">
      <c r="B248" s="77"/>
      <c r="C248" s="77"/>
      <c r="D248" s="77"/>
      <c r="E248" s="77"/>
    </row>
    <row r="249" spans="2:5">
      <c r="B249" s="77"/>
      <c r="C249" s="77"/>
      <c r="D249" s="77"/>
      <c r="E249" s="77"/>
    </row>
    <row r="250" spans="2:5">
      <c r="B250" s="77"/>
      <c r="C250" s="77"/>
      <c r="D250" s="77"/>
      <c r="E250" s="77"/>
    </row>
    <row r="251" spans="2:5">
      <c r="B251" s="77"/>
      <c r="C251" s="77"/>
      <c r="D251" s="77"/>
      <c r="E251" s="77"/>
    </row>
    <row r="252" spans="2:5">
      <c r="B252" s="77"/>
      <c r="C252" s="77"/>
      <c r="D252" s="77"/>
      <c r="E252" s="77"/>
    </row>
    <row r="253" spans="2:5">
      <c r="B253" s="77"/>
      <c r="C253" s="77"/>
      <c r="D253" s="77"/>
      <c r="E253" s="77"/>
    </row>
    <row r="254" spans="2:5">
      <c r="B254" s="77"/>
      <c r="C254" s="77"/>
      <c r="D254" s="77"/>
      <c r="E254" s="77"/>
    </row>
    <row r="255" spans="2:5">
      <c r="B255" s="77"/>
      <c r="C255" s="77"/>
      <c r="D255" s="77"/>
      <c r="E255" s="77"/>
    </row>
    <row r="256" spans="2:5">
      <c r="B256" s="77"/>
      <c r="C256" s="77"/>
      <c r="D256" s="77"/>
      <c r="E256" s="77"/>
    </row>
    <row r="257" spans="2:5">
      <c r="B257" s="77"/>
      <c r="C257" s="77"/>
      <c r="D257" s="77"/>
      <c r="E257" s="77"/>
    </row>
    <row r="258" spans="2:5">
      <c r="B258" s="77"/>
      <c r="C258" s="77"/>
      <c r="D258" s="77"/>
      <c r="E258" s="77"/>
    </row>
    <row r="259" spans="2:5">
      <c r="B259" s="77"/>
      <c r="C259" s="77"/>
      <c r="D259" s="77"/>
      <c r="E259" s="77"/>
    </row>
    <row r="260" spans="2:5">
      <c r="B260" s="77"/>
      <c r="C260" s="77"/>
      <c r="D260" s="77"/>
      <c r="E260" s="77"/>
    </row>
    <row r="261" spans="2:5">
      <c r="B261" s="77"/>
      <c r="C261" s="77"/>
      <c r="D261" s="77"/>
      <c r="E261" s="77"/>
    </row>
    <row r="262" spans="2:5">
      <c r="B262" s="77"/>
      <c r="C262" s="77"/>
      <c r="D262" s="77"/>
      <c r="E262" s="77"/>
    </row>
    <row r="263" spans="2:5">
      <c r="B263" s="77"/>
      <c r="C263" s="77"/>
      <c r="D263" s="77"/>
      <c r="E263" s="77"/>
    </row>
    <row r="264" spans="2:5">
      <c r="B264" s="77"/>
      <c r="C264" s="77"/>
      <c r="D264" s="77"/>
      <c r="E264" s="77"/>
    </row>
    <row r="265" spans="2:5">
      <c r="B265" s="77"/>
      <c r="C265" s="77"/>
      <c r="D265" s="77"/>
      <c r="E265" s="77"/>
    </row>
    <row r="266" spans="2:5">
      <c r="B266" s="77"/>
      <c r="C266" s="77"/>
      <c r="D266" s="77"/>
      <c r="E266" s="77"/>
    </row>
    <row r="267" spans="2:5">
      <c r="B267" s="77"/>
      <c r="C267" s="77"/>
      <c r="D267" s="77"/>
      <c r="E267" s="77"/>
    </row>
    <row r="268" spans="2:5">
      <c r="B268" s="77"/>
      <c r="C268" s="77"/>
      <c r="D268" s="77"/>
      <c r="E268" s="77"/>
    </row>
    <row r="269" spans="2:5">
      <c r="B269" s="77"/>
      <c r="C269" s="77"/>
      <c r="D269" s="77"/>
      <c r="E269" s="77"/>
    </row>
    <row r="270" spans="2:5">
      <c r="B270" s="77"/>
      <c r="C270" s="77"/>
      <c r="D270" s="77"/>
      <c r="E270" s="77"/>
    </row>
    <row r="271" spans="2:5">
      <c r="B271" s="77"/>
      <c r="C271" s="77"/>
      <c r="D271" s="77"/>
      <c r="E271" s="77"/>
    </row>
    <row r="272" spans="2:5">
      <c r="B272" s="77"/>
      <c r="C272" s="77"/>
      <c r="D272" s="77"/>
      <c r="E272" s="77"/>
    </row>
    <row r="273" spans="2:5">
      <c r="B273" s="77"/>
      <c r="C273" s="77"/>
      <c r="D273" s="77"/>
      <c r="E273" s="77"/>
    </row>
    <row r="274" spans="2:5">
      <c r="B274" s="77"/>
      <c r="C274" s="77"/>
      <c r="D274" s="77"/>
      <c r="E274" s="77"/>
    </row>
    <row r="275" spans="2:5">
      <c r="B275" s="77"/>
      <c r="C275" s="77"/>
      <c r="D275" s="77"/>
      <c r="E275" s="77"/>
    </row>
    <row r="276" spans="2:5">
      <c r="B276" s="77"/>
      <c r="C276" s="77"/>
      <c r="D276" s="77"/>
      <c r="E276" s="77"/>
    </row>
    <row r="277" spans="2:5">
      <c r="B277" s="77"/>
      <c r="C277" s="77"/>
      <c r="D277" s="77"/>
      <c r="E277" s="77"/>
    </row>
    <row r="278" spans="2:5">
      <c r="B278" s="77"/>
      <c r="C278" s="77"/>
      <c r="D278" s="77"/>
      <c r="E278" s="77"/>
    </row>
    <row r="279" spans="2:5">
      <c r="B279" s="77"/>
      <c r="C279" s="77"/>
      <c r="D279" s="77"/>
      <c r="E279" s="77"/>
    </row>
    <row r="280" spans="2:5">
      <c r="B280" s="77"/>
      <c r="C280" s="77"/>
      <c r="D280" s="77"/>
      <c r="E280" s="77"/>
    </row>
    <row r="281" spans="2:5">
      <c r="B281" s="77"/>
      <c r="C281" s="77"/>
      <c r="D281" s="77"/>
      <c r="E281" s="77"/>
    </row>
    <row r="282" spans="2:5">
      <c r="B282" s="77"/>
      <c r="C282" s="77"/>
      <c r="D282" s="77"/>
      <c r="E282" s="77"/>
    </row>
    <row r="283" spans="2:5">
      <c r="B283" s="77"/>
      <c r="C283" s="77"/>
      <c r="D283" s="77"/>
      <c r="E283" s="77"/>
    </row>
    <row r="284" spans="2:5">
      <c r="B284" s="77"/>
      <c r="C284" s="77"/>
      <c r="D284" s="77"/>
      <c r="E284" s="77"/>
    </row>
    <row r="285" spans="2:5">
      <c r="B285" s="77"/>
      <c r="C285" s="77"/>
      <c r="D285" s="77"/>
      <c r="E285" s="77"/>
    </row>
    <row r="286" spans="2:5">
      <c r="B286" s="77"/>
      <c r="C286" s="77"/>
      <c r="D286" s="77"/>
      <c r="E286" s="77"/>
    </row>
    <row r="287" spans="2:5">
      <c r="B287" s="77"/>
      <c r="C287" s="77"/>
      <c r="D287" s="77"/>
      <c r="E287" s="77"/>
    </row>
    <row r="288" spans="2:5">
      <c r="B288" s="77"/>
      <c r="C288" s="77"/>
      <c r="D288" s="77"/>
      <c r="E288" s="77"/>
    </row>
    <row r="289" spans="2:5">
      <c r="B289" s="77"/>
      <c r="C289" s="77"/>
      <c r="D289" s="77"/>
      <c r="E289" s="77"/>
    </row>
    <row r="290" spans="2:5">
      <c r="B290" s="77"/>
      <c r="C290" s="77"/>
      <c r="D290" s="77"/>
      <c r="E290" s="77"/>
    </row>
    <row r="291" spans="2:5">
      <c r="B291" s="77"/>
      <c r="C291" s="77"/>
      <c r="D291" s="77"/>
      <c r="E291" s="77"/>
    </row>
    <row r="292" spans="2:5">
      <c r="B292" s="77"/>
      <c r="C292" s="77"/>
      <c r="D292" s="77"/>
      <c r="E292" s="77"/>
    </row>
    <row r="293" spans="2:5">
      <c r="B293" s="77"/>
      <c r="C293" s="77"/>
      <c r="D293" s="77"/>
      <c r="E293" s="77"/>
    </row>
    <row r="294" spans="2:5">
      <c r="B294" s="77"/>
      <c r="C294" s="77"/>
      <c r="D294" s="77"/>
      <c r="E294" s="77"/>
    </row>
    <row r="295" spans="2:5">
      <c r="B295" s="77"/>
      <c r="C295" s="77"/>
      <c r="D295" s="77"/>
      <c r="E295" s="77"/>
    </row>
    <row r="296" spans="2:5">
      <c r="B296" s="77"/>
      <c r="C296" s="77"/>
      <c r="D296" s="77"/>
      <c r="E296" s="77"/>
    </row>
    <row r="297" spans="2:5">
      <c r="B297" s="77"/>
      <c r="C297" s="77"/>
      <c r="D297" s="77"/>
      <c r="E297" s="77"/>
    </row>
    <row r="298" spans="2:5">
      <c r="B298" s="77"/>
      <c r="C298" s="77"/>
      <c r="D298" s="77"/>
      <c r="E298" s="77"/>
    </row>
    <row r="299" spans="2:5">
      <c r="B299" s="77"/>
      <c r="C299" s="77"/>
      <c r="D299" s="77"/>
      <c r="E299" s="77"/>
    </row>
    <row r="300" spans="2:5">
      <c r="B300" s="77"/>
      <c r="C300" s="77"/>
      <c r="D300" s="77"/>
      <c r="E300" s="77"/>
    </row>
    <row r="301" spans="2:5">
      <c r="B301" s="77"/>
      <c r="C301" s="77"/>
      <c r="D301" s="77"/>
      <c r="E301" s="77"/>
    </row>
    <row r="302" spans="2:5">
      <c r="B302" s="77"/>
      <c r="C302" s="77"/>
      <c r="D302" s="77"/>
      <c r="E302" s="77"/>
    </row>
    <row r="303" spans="2:5">
      <c r="B303" s="77"/>
      <c r="C303" s="77"/>
      <c r="D303" s="77"/>
      <c r="E303" s="77"/>
    </row>
    <row r="304" spans="2:5">
      <c r="B304" s="77"/>
      <c r="C304" s="77"/>
      <c r="D304" s="77"/>
      <c r="E304" s="77"/>
    </row>
    <row r="305" spans="2:5">
      <c r="B305" s="77"/>
      <c r="C305" s="77"/>
      <c r="D305" s="77"/>
      <c r="E305" s="77"/>
    </row>
    <row r="306" spans="2:5">
      <c r="B306" s="77"/>
      <c r="C306" s="77"/>
      <c r="D306" s="77"/>
      <c r="E306" s="77"/>
    </row>
    <row r="307" spans="2:5">
      <c r="B307" s="77"/>
      <c r="C307" s="77"/>
      <c r="D307" s="77"/>
      <c r="E307" s="77"/>
    </row>
    <row r="308" spans="2:5">
      <c r="B308" s="77"/>
      <c r="C308" s="77"/>
      <c r="D308" s="77"/>
      <c r="E308" s="77"/>
    </row>
    <row r="309" spans="2:5">
      <c r="B309" s="77"/>
      <c r="C309" s="77"/>
      <c r="D309" s="77"/>
      <c r="E309" s="77"/>
    </row>
    <row r="310" spans="2:5">
      <c r="B310" s="77"/>
      <c r="C310" s="77"/>
      <c r="D310" s="77"/>
      <c r="E310" s="77"/>
    </row>
    <row r="311" spans="2:5">
      <c r="B311" s="77"/>
      <c r="C311" s="77"/>
      <c r="D311" s="77"/>
      <c r="E311" s="77"/>
    </row>
    <row r="312" spans="2:5">
      <c r="B312" s="77"/>
      <c r="C312" s="77"/>
      <c r="D312" s="77"/>
      <c r="E312" s="77"/>
    </row>
    <row r="313" spans="2:5">
      <c r="B313" s="77"/>
      <c r="C313" s="77"/>
      <c r="D313" s="77"/>
      <c r="E313" s="77"/>
    </row>
    <row r="314" spans="2:5">
      <c r="B314" s="77"/>
      <c r="C314" s="77"/>
      <c r="D314" s="77"/>
      <c r="E314" s="77"/>
    </row>
    <row r="315" spans="2:5">
      <c r="B315" s="77"/>
      <c r="C315" s="77"/>
      <c r="D315" s="77"/>
      <c r="E315" s="77"/>
    </row>
    <row r="316" spans="2:5">
      <c r="B316" s="77"/>
      <c r="C316" s="77"/>
      <c r="D316" s="77"/>
      <c r="E316" s="77"/>
    </row>
    <row r="317" spans="2:5">
      <c r="B317" s="77"/>
      <c r="C317" s="77"/>
      <c r="D317" s="77"/>
      <c r="E317" s="77"/>
    </row>
    <row r="318" spans="2:5">
      <c r="B318" s="77"/>
      <c r="C318" s="77"/>
      <c r="D318" s="77"/>
      <c r="E318" s="77"/>
    </row>
    <row r="319" spans="2:5">
      <c r="B319" s="77"/>
      <c r="C319" s="77"/>
      <c r="D319" s="77"/>
      <c r="E319" s="77"/>
    </row>
    <row r="320" spans="2:5">
      <c r="B320" s="77"/>
      <c r="C320" s="77"/>
      <c r="D320" s="77"/>
      <c r="E320" s="77"/>
    </row>
    <row r="321" spans="2:5">
      <c r="B321" s="77"/>
      <c r="C321" s="77"/>
      <c r="D321" s="77"/>
      <c r="E321" s="77"/>
    </row>
    <row r="322" spans="2:5">
      <c r="B322" s="77"/>
      <c r="C322" s="77"/>
      <c r="D322" s="77"/>
      <c r="E322" s="77"/>
    </row>
    <row r="323" spans="2:5">
      <c r="B323" s="77"/>
      <c r="C323" s="77"/>
      <c r="D323" s="77"/>
      <c r="E323" s="77"/>
    </row>
    <row r="324" spans="2:5">
      <c r="B324" s="77"/>
      <c r="C324" s="77"/>
      <c r="D324" s="77"/>
      <c r="E324" s="77"/>
    </row>
    <row r="325" spans="2:5">
      <c r="B325" s="77"/>
      <c r="C325" s="77"/>
      <c r="D325" s="77"/>
      <c r="E325" s="77"/>
    </row>
    <row r="326" spans="2:5">
      <c r="B326" s="77"/>
      <c r="C326" s="77"/>
      <c r="D326" s="77"/>
      <c r="E326" s="77"/>
    </row>
    <row r="327" spans="2:5">
      <c r="B327" s="77"/>
      <c r="C327" s="77"/>
      <c r="D327" s="77"/>
      <c r="E327" s="77"/>
    </row>
    <row r="328" spans="2:5">
      <c r="B328" s="77"/>
      <c r="C328" s="77"/>
      <c r="D328" s="77"/>
      <c r="E328" s="77"/>
    </row>
    <row r="329" spans="2:5">
      <c r="B329" s="77"/>
      <c r="C329" s="77"/>
      <c r="D329" s="77"/>
      <c r="E329" s="77"/>
    </row>
    <row r="330" spans="2:5">
      <c r="B330" s="77"/>
      <c r="C330" s="77"/>
      <c r="D330" s="77"/>
      <c r="E330" s="77"/>
    </row>
    <row r="331" spans="2:5">
      <c r="B331" s="77"/>
      <c r="C331" s="77"/>
      <c r="D331" s="77"/>
      <c r="E331" s="77"/>
    </row>
    <row r="332" spans="2:5">
      <c r="B332" s="77"/>
      <c r="C332" s="77"/>
      <c r="D332" s="77"/>
      <c r="E332" s="77"/>
    </row>
    <row r="333" spans="2:5">
      <c r="B333" s="77"/>
      <c r="C333" s="77"/>
      <c r="D333" s="77"/>
      <c r="E333" s="77"/>
    </row>
    <row r="334" spans="2:5">
      <c r="B334" s="77"/>
      <c r="C334" s="77"/>
      <c r="D334" s="77"/>
      <c r="E334" s="77"/>
    </row>
    <row r="335" spans="2:5">
      <c r="B335" s="77"/>
      <c r="C335" s="77"/>
      <c r="D335" s="77"/>
      <c r="E335" s="77"/>
    </row>
    <row r="336" spans="2:5">
      <c r="B336" s="77"/>
      <c r="C336" s="77"/>
      <c r="D336" s="77"/>
      <c r="E336" s="77"/>
    </row>
    <row r="337" spans="2:5">
      <c r="B337" s="77"/>
      <c r="C337" s="77"/>
      <c r="D337" s="77"/>
      <c r="E337" s="77"/>
    </row>
    <row r="338" spans="2:5">
      <c r="B338" s="77"/>
      <c r="C338" s="77"/>
      <c r="D338" s="77"/>
      <c r="E338" s="77"/>
    </row>
    <row r="339" spans="2:5">
      <c r="B339" s="77"/>
      <c r="C339" s="77"/>
      <c r="D339" s="77"/>
      <c r="E339" s="77"/>
    </row>
    <row r="340" spans="2:5">
      <c r="B340" s="77"/>
      <c r="C340" s="77"/>
      <c r="D340" s="77"/>
      <c r="E340" s="77"/>
    </row>
    <row r="341" spans="2:5">
      <c r="B341" s="77"/>
      <c r="C341" s="77"/>
      <c r="D341" s="77"/>
      <c r="E341" s="77"/>
    </row>
    <row r="342" spans="2:5">
      <c r="B342" s="77"/>
      <c r="C342" s="77"/>
      <c r="D342" s="77"/>
      <c r="E342" s="77"/>
    </row>
    <row r="343" spans="2:5">
      <c r="B343" s="77"/>
      <c r="C343" s="77"/>
      <c r="D343" s="77"/>
      <c r="E343" s="77"/>
    </row>
    <row r="344" spans="2:5">
      <c r="B344" s="77"/>
      <c r="C344" s="77"/>
      <c r="D344" s="77"/>
      <c r="E344" s="77"/>
    </row>
    <row r="345" spans="2:5">
      <c r="B345" s="77"/>
      <c r="C345" s="77"/>
      <c r="D345" s="77"/>
      <c r="E345" s="77"/>
    </row>
    <row r="346" spans="2:5">
      <c r="B346" s="77"/>
      <c r="C346" s="77"/>
      <c r="D346" s="77"/>
      <c r="E346" s="77"/>
    </row>
    <row r="347" spans="2:5">
      <c r="B347" s="77"/>
      <c r="C347" s="77"/>
      <c r="D347" s="77"/>
      <c r="E347" s="77"/>
    </row>
    <row r="348" spans="2:5">
      <c r="B348" s="77"/>
      <c r="C348" s="77"/>
      <c r="D348" s="77"/>
      <c r="E348" s="77"/>
    </row>
    <row r="349" spans="2:5">
      <c r="B349" s="77"/>
      <c r="C349" s="77"/>
      <c r="D349" s="77"/>
      <c r="E349" s="77"/>
    </row>
    <row r="350" spans="2:5">
      <c r="B350" s="77"/>
      <c r="C350" s="77"/>
      <c r="D350" s="77"/>
      <c r="E350" s="77"/>
    </row>
    <row r="351" spans="2:5">
      <c r="B351" s="77"/>
      <c r="C351" s="77"/>
      <c r="D351" s="77"/>
      <c r="E351" s="77"/>
    </row>
    <row r="352" spans="2:5">
      <c r="B352" s="77"/>
      <c r="C352" s="77"/>
      <c r="D352" s="77"/>
      <c r="E352" s="77"/>
    </row>
    <row r="353" spans="2:5">
      <c r="B353" s="77"/>
      <c r="C353" s="77"/>
      <c r="D353" s="77"/>
      <c r="E353" s="77"/>
    </row>
    <row r="354" spans="2:5">
      <c r="B354" s="77"/>
      <c r="C354" s="77"/>
      <c r="D354" s="77"/>
      <c r="E354" s="77"/>
    </row>
    <row r="355" spans="2:5">
      <c r="B355" s="77"/>
      <c r="C355" s="77"/>
      <c r="D355" s="77"/>
      <c r="E355" s="77"/>
    </row>
    <row r="356" spans="2:5">
      <c r="B356" s="77"/>
      <c r="C356" s="77"/>
      <c r="D356" s="77"/>
      <c r="E356" s="77"/>
    </row>
    <row r="357" spans="2:5">
      <c r="B357" s="77"/>
      <c r="C357" s="77"/>
      <c r="D357" s="77"/>
      <c r="E357" s="77"/>
    </row>
    <row r="358" spans="2:5">
      <c r="B358" s="77"/>
      <c r="C358" s="77"/>
      <c r="D358" s="77"/>
      <c r="E358" s="77"/>
    </row>
    <row r="359" spans="2:5">
      <c r="B359" s="77"/>
      <c r="C359" s="77"/>
      <c r="D359" s="77"/>
      <c r="E359" s="77"/>
    </row>
    <row r="360" spans="2:5">
      <c r="B360" s="77"/>
      <c r="C360" s="77"/>
      <c r="D360" s="77"/>
      <c r="E360" s="77"/>
    </row>
    <row r="361" spans="2:5">
      <c r="B361" s="77"/>
      <c r="C361" s="77"/>
      <c r="D361" s="77"/>
      <c r="E361" s="77"/>
    </row>
    <row r="362" spans="2:5">
      <c r="B362" s="77"/>
      <c r="C362" s="77"/>
      <c r="D362" s="77"/>
      <c r="E362" s="77"/>
    </row>
    <row r="363" spans="2:5">
      <c r="B363" s="77"/>
      <c r="C363" s="77"/>
      <c r="D363" s="77"/>
      <c r="E363" s="77"/>
    </row>
    <row r="364" spans="2:5">
      <c r="B364" s="77"/>
      <c r="C364" s="77"/>
      <c r="D364" s="77"/>
      <c r="E364" s="77"/>
    </row>
    <row r="365" spans="2:5">
      <c r="B365" s="77"/>
      <c r="C365" s="77"/>
      <c r="D365" s="77"/>
      <c r="E365" s="77"/>
    </row>
    <row r="366" spans="2:5">
      <c r="B366" s="77"/>
      <c r="C366" s="77"/>
      <c r="D366" s="77"/>
      <c r="E366" s="77"/>
    </row>
    <row r="367" spans="2:5">
      <c r="B367" s="77"/>
      <c r="C367" s="77"/>
      <c r="D367" s="77"/>
      <c r="E367" s="77"/>
    </row>
    <row r="368" spans="2:5">
      <c r="B368" s="77"/>
      <c r="C368" s="77"/>
      <c r="D368" s="77"/>
      <c r="E368" s="77"/>
    </row>
    <row r="369" spans="2:5">
      <c r="B369" s="77"/>
      <c r="C369" s="77"/>
      <c r="D369" s="77"/>
      <c r="E369" s="77"/>
    </row>
    <row r="370" spans="2:5">
      <c r="B370" s="77"/>
      <c r="C370" s="77"/>
      <c r="D370" s="77"/>
      <c r="E370" s="77"/>
    </row>
    <row r="371" spans="2:5">
      <c r="B371" s="77"/>
      <c r="C371" s="77"/>
      <c r="D371" s="77"/>
      <c r="E371" s="77"/>
    </row>
    <row r="372" spans="2:5">
      <c r="B372" s="77"/>
      <c r="C372" s="77"/>
      <c r="D372" s="77"/>
      <c r="E372" s="77"/>
    </row>
    <row r="373" spans="2:5">
      <c r="B373" s="77"/>
      <c r="C373" s="77"/>
      <c r="D373" s="77"/>
      <c r="E373" s="77"/>
    </row>
    <row r="374" spans="2:5">
      <c r="B374" s="77"/>
      <c r="C374" s="77"/>
      <c r="D374" s="77"/>
      <c r="E374" s="77"/>
    </row>
    <row r="375" spans="2:5">
      <c r="B375" s="77"/>
      <c r="C375" s="77"/>
      <c r="D375" s="77"/>
      <c r="E375" s="77"/>
    </row>
    <row r="376" spans="2:5">
      <c r="B376" s="77"/>
      <c r="C376" s="77"/>
      <c r="D376" s="77"/>
      <c r="E376" s="77"/>
    </row>
    <row r="377" spans="2:5">
      <c r="B377" s="77"/>
      <c r="C377" s="77"/>
      <c r="D377" s="77"/>
      <c r="E377" s="77"/>
    </row>
    <row r="378" spans="2:5">
      <c r="B378" s="77"/>
      <c r="C378" s="77"/>
      <c r="D378" s="77"/>
      <c r="E378" s="77"/>
    </row>
    <row r="379" spans="2:5">
      <c r="B379" s="77"/>
      <c r="C379" s="77"/>
      <c r="D379" s="77"/>
      <c r="E379" s="77"/>
    </row>
    <row r="380" spans="2:5">
      <c r="B380" s="77"/>
      <c r="C380" s="77"/>
      <c r="D380" s="77"/>
      <c r="E380" s="77"/>
    </row>
    <row r="381" spans="2:5">
      <c r="B381" s="77"/>
      <c r="C381" s="77"/>
      <c r="D381" s="77"/>
      <c r="E381" s="77"/>
    </row>
    <row r="382" spans="2:5">
      <c r="B382" s="77"/>
      <c r="C382" s="77"/>
      <c r="D382" s="77"/>
      <c r="E382" s="77"/>
    </row>
    <row r="383" spans="2:5">
      <c r="B383" s="77"/>
      <c r="C383" s="77"/>
      <c r="D383" s="77"/>
      <c r="E383" s="77"/>
    </row>
    <row r="384" spans="2:5">
      <c r="B384" s="77"/>
      <c r="C384" s="77"/>
      <c r="D384" s="77"/>
      <c r="E384" s="77"/>
    </row>
    <row r="385" spans="2:5">
      <c r="B385" s="77"/>
      <c r="C385" s="77"/>
      <c r="D385" s="77"/>
      <c r="E385" s="77"/>
    </row>
    <row r="386" spans="2:5">
      <c r="B386" s="77"/>
      <c r="C386" s="77"/>
      <c r="D386" s="77"/>
      <c r="E386" s="77"/>
    </row>
    <row r="387" spans="2:5">
      <c r="B387" s="77"/>
      <c r="C387" s="77"/>
      <c r="D387" s="77"/>
      <c r="E387" s="77"/>
    </row>
    <row r="388" spans="2:5">
      <c r="B388" s="77"/>
      <c r="C388" s="77"/>
      <c r="D388" s="77"/>
      <c r="E388" s="77"/>
    </row>
    <row r="389" spans="2:5">
      <c r="B389" s="77"/>
      <c r="C389" s="77"/>
      <c r="D389" s="77"/>
      <c r="E389" s="77"/>
    </row>
    <row r="390" spans="2:5">
      <c r="B390" s="77"/>
      <c r="C390" s="77"/>
      <c r="D390" s="77"/>
      <c r="E390" s="77"/>
    </row>
    <row r="391" spans="2:5">
      <c r="B391" s="77"/>
      <c r="C391" s="77"/>
      <c r="D391" s="77"/>
      <c r="E391" s="77"/>
    </row>
    <row r="392" spans="2:5">
      <c r="B392" s="77"/>
      <c r="C392" s="77"/>
      <c r="D392" s="77"/>
      <c r="E392" s="77"/>
    </row>
    <row r="393" spans="2:5">
      <c r="B393" s="77"/>
      <c r="C393" s="77"/>
      <c r="D393" s="77"/>
      <c r="E393" s="77"/>
    </row>
    <row r="394" spans="2:5">
      <c r="B394" s="77"/>
      <c r="C394" s="77"/>
      <c r="D394" s="77"/>
      <c r="E394" s="77"/>
    </row>
    <row r="395" spans="2:5">
      <c r="B395" s="77"/>
      <c r="C395" s="77"/>
      <c r="D395" s="77"/>
      <c r="E395" s="77"/>
    </row>
    <row r="396" spans="2:5">
      <c r="B396" s="77"/>
      <c r="C396" s="77"/>
      <c r="D396" s="77"/>
      <c r="E396" s="77"/>
    </row>
    <row r="397" spans="2:5">
      <c r="B397" s="77"/>
      <c r="C397" s="77"/>
      <c r="D397" s="77"/>
      <c r="E397" s="77"/>
    </row>
    <row r="398" spans="2:5">
      <c r="B398" s="77"/>
      <c r="C398" s="77"/>
      <c r="D398" s="77"/>
      <c r="E398" s="77"/>
    </row>
    <row r="399" spans="2:5">
      <c r="B399" s="77"/>
      <c r="C399" s="77"/>
      <c r="D399" s="77"/>
      <c r="E399" s="77"/>
    </row>
    <row r="400" spans="2:5">
      <c r="B400" s="77"/>
      <c r="C400" s="77"/>
      <c r="D400" s="77"/>
      <c r="E400" s="77"/>
    </row>
    <row r="401" spans="2:5">
      <c r="B401" s="77"/>
      <c r="C401" s="77"/>
      <c r="D401" s="77"/>
      <c r="E401" s="77"/>
    </row>
    <row r="402" spans="2:5">
      <c r="B402" s="77"/>
      <c r="C402" s="77"/>
      <c r="D402" s="77"/>
      <c r="E402" s="77"/>
    </row>
    <row r="403" spans="2:5">
      <c r="B403" s="77"/>
      <c r="C403" s="77"/>
      <c r="D403" s="77"/>
      <c r="E403" s="77"/>
    </row>
    <row r="404" spans="2:5">
      <c r="B404" s="77"/>
      <c r="C404" s="77"/>
      <c r="D404" s="77"/>
      <c r="E404" s="77"/>
    </row>
    <row r="405" spans="2:5">
      <c r="B405" s="77"/>
      <c r="C405" s="77"/>
      <c r="D405" s="77"/>
      <c r="E405" s="77"/>
    </row>
    <row r="406" spans="2:5">
      <c r="B406" s="77"/>
      <c r="C406" s="77"/>
      <c r="D406" s="77"/>
      <c r="E406" s="77"/>
    </row>
    <row r="407" spans="2:5">
      <c r="B407" s="77"/>
      <c r="C407" s="77"/>
      <c r="D407" s="77"/>
      <c r="E407" s="77"/>
    </row>
    <row r="408" spans="2:5">
      <c r="B408" s="77"/>
      <c r="C408" s="77"/>
      <c r="D408" s="77"/>
      <c r="E408" s="77"/>
    </row>
    <row r="409" spans="2:5">
      <c r="B409" s="77"/>
      <c r="C409" s="77"/>
      <c r="D409" s="77"/>
      <c r="E409" s="77"/>
    </row>
    <row r="410" spans="2:5">
      <c r="B410" s="77"/>
      <c r="C410" s="77"/>
      <c r="D410" s="77"/>
      <c r="E410" s="77"/>
    </row>
    <row r="411" spans="2:5">
      <c r="B411" s="77"/>
      <c r="C411" s="77"/>
      <c r="D411" s="77"/>
      <c r="E411" s="77"/>
    </row>
    <row r="412" spans="2:5">
      <c r="B412" s="77"/>
      <c r="C412" s="77"/>
      <c r="D412" s="77"/>
      <c r="E412" s="77"/>
    </row>
    <row r="413" spans="2:5">
      <c r="B413" s="77"/>
      <c r="C413" s="77"/>
      <c r="D413" s="77"/>
      <c r="E413" s="77"/>
    </row>
    <row r="414" spans="2:5">
      <c r="B414" s="77"/>
      <c r="C414" s="77"/>
      <c r="D414" s="77"/>
      <c r="E414" s="77"/>
    </row>
    <row r="415" spans="2:5">
      <c r="B415" s="77"/>
      <c r="C415" s="77"/>
      <c r="D415" s="77"/>
      <c r="E415" s="77"/>
    </row>
    <row r="416" spans="2:5">
      <c r="B416" s="77"/>
      <c r="C416" s="77"/>
      <c r="D416" s="77"/>
      <c r="E416" s="77"/>
    </row>
    <row r="417" spans="2:5">
      <c r="B417" s="77"/>
      <c r="C417" s="77"/>
      <c r="D417" s="77"/>
      <c r="E417" s="77"/>
    </row>
    <row r="418" spans="2:5">
      <c r="B418" s="77"/>
      <c r="C418" s="77"/>
      <c r="D418" s="77"/>
      <c r="E418" s="77"/>
    </row>
    <row r="419" spans="2:5">
      <c r="B419" s="77"/>
      <c r="C419" s="77"/>
      <c r="D419" s="77"/>
      <c r="E419" s="77"/>
    </row>
    <row r="420" spans="2:5">
      <c r="B420" s="77"/>
      <c r="C420" s="77"/>
      <c r="D420" s="77"/>
      <c r="E420" s="77"/>
    </row>
    <row r="421" spans="2:5">
      <c r="B421" s="77"/>
      <c r="C421" s="77"/>
      <c r="D421" s="77"/>
      <c r="E421" s="77"/>
    </row>
    <row r="422" spans="2:5">
      <c r="B422" s="77"/>
      <c r="C422" s="77"/>
      <c r="D422" s="77"/>
      <c r="E422" s="77"/>
    </row>
    <row r="423" spans="2:5">
      <c r="B423" s="77"/>
      <c r="C423" s="77"/>
      <c r="D423" s="77"/>
      <c r="E423" s="77"/>
    </row>
    <row r="424" spans="2:5">
      <c r="B424" s="77"/>
      <c r="C424" s="77"/>
      <c r="D424" s="77"/>
      <c r="E424" s="77"/>
    </row>
    <row r="425" spans="2:5">
      <c r="B425" s="77"/>
      <c r="C425" s="77"/>
      <c r="D425" s="77"/>
      <c r="E425" s="77"/>
    </row>
    <row r="426" spans="2:5">
      <c r="B426" s="77"/>
      <c r="C426" s="77"/>
      <c r="D426" s="77"/>
      <c r="E426" s="77"/>
    </row>
    <row r="427" spans="2:5">
      <c r="B427" s="77"/>
      <c r="C427" s="77"/>
      <c r="D427" s="77"/>
      <c r="E427" s="77"/>
    </row>
    <row r="428" spans="2:5">
      <c r="B428" s="77"/>
      <c r="C428" s="77"/>
      <c r="D428" s="77"/>
      <c r="E428" s="77"/>
    </row>
    <row r="429" spans="2:5">
      <c r="B429" s="77"/>
      <c r="C429" s="77"/>
      <c r="D429" s="77"/>
      <c r="E429" s="77"/>
    </row>
    <row r="430" spans="2:5">
      <c r="B430" s="77"/>
      <c r="C430" s="77"/>
      <c r="D430" s="77"/>
      <c r="E430" s="77"/>
    </row>
    <row r="431" spans="2:5">
      <c r="B431" s="77"/>
      <c r="C431" s="77"/>
      <c r="D431" s="77"/>
      <c r="E431" s="77"/>
    </row>
    <row r="432" spans="2:5">
      <c r="B432" s="77"/>
      <c r="C432" s="77"/>
      <c r="D432" s="77"/>
      <c r="E432" s="77"/>
    </row>
    <row r="433" spans="2:5">
      <c r="B433" s="77"/>
      <c r="C433" s="77"/>
      <c r="D433" s="77"/>
      <c r="E433" s="77"/>
    </row>
    <row r="434" spans="2:5">
      <c r="B434" s="77"/>
      <c r="C434" s="77"/>
      <c r="D434" s="77"/>
      <c r="E434" s="77"/>
    </row>
    <row r="435" spans="2:5">
      <c r="B435" s="77"/>
      <c r="C435" s="77"/>
      <c r="D435" s="77"/>
      <c r="E435" s="77"/>
    </row>
    <row r="436" spans="2:5">
      <c r="B436" s="77"/>
      <c r="C436" s="77"/>
      <c r="D436" s="77"/>
      <c r="E436" s="77"/>
    </row>
    <row r="437" spans="2:5">
      <c r="B437" s="77"/>
      <c r="C437" s="77"/>
      <c r="D437" s="77"/>
      <c r="E437" s="77"/>
    </row>
    <row r="438" spans="2:5">
      <c r="B438" s="77"/>
      <c r="C438" s="77"/>
      <c r="D438" s="77"/>
      <c r="E438" s="77"/>
    </row>
    <row r="439" spans="2:5">
      <c r="B439" s="77"/>
      <c r="C439" s="77"/>
      <c r="D439" s="77"/>
      <c r="E439" s="77"/>
    </row>
    <row r="440" spans="2:5">
      <c r="B440" s="77"/>
      <c r="C440" s="77"/>
      <c r="D440" s="77"/>
      <c r="E440" s="77"/>
    </row>
    <row r="441" spans="2:5">
      <c r="B441" s="77"/>
      <c r="C441" s="77"/>
      <c r="D441" s="77"/>
      <c r="E441" s="77"/>
    </row>
    <row r="442" spans="2:5">
      <c r="B442" s="77"/>
      <c r="C442" s="77"/>
      <c r="D442" s="77"/>
      <c r="E442" s="77"/>
    </row>
    <row r="443" spans="2:5">
      <c r="B443" s="77"/>
      <c r="C443" s="77"/>
      <c r="D443" s="77"/>
      <c r="E443" s="77"/>
    </row>
    <row r="444" spans="2:5">
      <c r="B444" s="77"/>
      <c r="C444" s="77"/>
      <c r="D444" s="77"/>
      <c r="E444" s="77"/>
    </row>
    <row r="445" spans="2:5">
      <c r="B445" s="77"/>
      <c r="C445" s="77"/>
      <c r="D445" s="77"/>
      <c r="E445" s="77"/>
    </row>
    <row r="446" spans="2:5">
      <c r="B446" s="77"/>
      <c r="C446" s="77"/>
      <c r="D446" s="77"/>
      <c r="E446" s="77"/>
    </row>
    <row r="447" spans="2:5">
      <c r="B447" s="77"/>
      <c r="C447" s="77"/>
      <c r="D447" s="77"/>
      <c r="E447" s="77"/>
    </row>
    <row r="448" spans="2:5">
      <c r="B448" s="77"/>
      <c r="C448" s="77"/>
      <c r="D448" s="77"/>
      <c r="E448" s="77"/>
    </row>
    <row r="449" spans="2:5">
      <c r="B449" s="77"/>
      <c r="C449" s="77"/>
      <c r="D449" s="77"/>
      <c r="E449" s="77"/>
    </row>
    <row r="450" spans="2:5">
      <c r="B450" s="77"/>
      <c r="C450" s="77"/>
      <c r="D450" s="77"/>
      <c r="E450" s="77"/>
    </row>
    <row r="451" spans="2:5">
      <c r="B451" s="77"/>
      <c r="C451" s="77"/>
      <c r="D451" s="77"/>
      <c r="E451" s="77"/>
    </row>
    <row r="452" spans="2:5">
      <c r="B452" s="77"/>
      <c r="C452" s="77"/>
      <c r="D452" s="77"/>
      <c r="E452" s="77"/>
    </row>
    <row r="453" spans="2:5">
      <c r="B453" s="77"/>
      <c r="C453" s="77"/>
      <c r="D453" s="77"/>
      <c r="E453" s="77"/>
    </row>
    <row r="454" spans="2:5">
      <c r="B454" s="77"/>
      <c r="C454" s="77"/>
      <c r="D454" s="77"/>
      <c r="E454" s="77"/>
    </row>
    <row r="455" spans="2:5">
      <c r="B455" s="77"/>
      <c r="C455" s="77"/>
      <c r="D455" s="77"/>
      <c r="E455" s="77"/>
    </row>
    <row r="456" spans="2:5">
      <c r="B456" s="77"/>
      <c r="C456" s="77"/>
      <c r="D456" s="77"/>
      <c r="E456" s="77"/>
    </row>
    <row r="457" spans="2:5">
      <c r="B457" s="77"/>
      <c r="C457" s="77"/>
      <c r="D457" s="77"/>
      <c r="E457" s="77"/>
    </row>
    <row r="458" spans="2:5">
      <c r="B458" s="77"/>
      <c r="C458" s="77"/>
      <c r="D458" s="77"/>
      <c r="E458" s="77"/>
    </row>
    <row r="459" spans="2:5">
      <c r="B459" s="77"/>
      <c r="C459" s="77"/>
      <c r="D459" s="77"/>
      <c r="E459" s="77"/>
    </row>
    <row r="460" spans="2:5">
      <c r="B460" s="77"/>
      <c r="C460" s="77"/>
      <c r="D460" s="77"/>
      <c r="E460" s="77"/>
    </row>
    <row r="461" spans="2:5">
      <c r="B461" s="77"/>
      <c r="C461" s="77"/>
      <c r="D461" s="77"/>
      <c r="E461" s="77"/>
    </row>
    <row r="462" spans="2:5">
      <c r="B462" s="77"/>
      <c r="C462" s="77"/>
      <c r="D462" s="77"/>
      <c r="E462" s="77"/>
    </row>
    <row r="463" spans="2:5">
      <c r="B463" s="77"/>
      <c r="C463" s="77"/>
      <c r="D463" s="77"/>
      <c r="E463" s="77"/>
    </row>
    <row r="464" spans="2:5">
      <c r="B464" s="77"/>
      <c r="C464" s="77"/>
      <c r="D464" s="77"/>
      <c r="E464" s="77"/>
    </row>
    <row r="465" spans="2:5">
      <c r="B465" s="77"/>
      <c r="C465" s="77"/>
      <c r="D465" s="77"/>
      <c r="E465" s="77"/>
    </row>
    <row r="466" spans="2:5">
      <c r="B466" s="77"/>
      <c r="C466" s="77"/>
      <c r="D466" s="77"/>
      <c r="E466" s="77"/>
    </row>
    <row r="467" spans="2:5">
      <c r="B467" s="77"/>
      <c r="C467" s="77"/>
      <c r="D467" s="77"/>
      <c r="E467" s="77"/>
    </row>
    <row r="468" spans="2:5">
      <c r="B468" s="77"/>
      <c r="C468" s="77"/>
      <c r="D468" s="77"/>
      <c r="E468" s="77"/>
    </row>
    <row r="469" spans="2:5">
      <c r="B469" s="77"/>
      <c r="C469" s="77"/>
      <c r="D469" s="77"/>
      <c r="E469" s="77"/>
    </row>
    <row r="470" spans="2:5">
      <c r="B470" s="77"/>
      <c r="C470" s="77"/>
      <c r="D470" s="77"/>
      <c r="E470" s="77"/>
    </row>
    <row r="471" spans="2:5">
      <c r="B471" s="77"/>
      <c r="C471" s="77"/>
      <c r="D471" s="77"/>
      <c r="E471" s="77"/>
    </row>
    <row r="472" spans="2:5">
      <c r="B472" s="77"/>
      <c r="C472" s="77"/>
      <c r="D472" s="77"/>
      <c r="E472" s="77"/>
    </row>
    <row r="473" spans="2:5">
      <c r="B473" s="77"/>
      <c r="C473" s="77"/>
      <c r="D473" s="77"/>
      <c r="E473" s="77"/>
    </row>
    <row r="474" spans="2:5">
      <c r="B474" s="77"/>
      <c r="C474" s="77"/>
      <c r="D474" s="77"/>
      <c r="E474" s="77"/>
    </row>
    <row r="475" spans="2:5">
      <c r="B475" s="77"/>
      <c r="C475" s="77"/>
      <c r="D475" s="77"/>
      <c r="E475" s="77"/>
    </row>
    <row r="476" spans="2:5">
      <c r="B476" s="77"/>
      <c r="C476" s="77"/>
      <c r="D476" s="77"/>
      <c r="E476" s="77"/>
    </row>
    <row r="477" spans="2:5">
      <c r="B477" s="77"/>
      <c r="C477" s="77"/>
      <c r="D477" s="77"/>
      <c r="E477" s="77"/>
    </row>
    <row r="478" spans="2:5">
      <c r="B478" s="77"/>
      <c r="C478" s="77"/>
      <c r="D478" s="77"/>
      <c r="E478" s="77"/>
    </row>
    <row r="479" spans="2:5">
      <c r="B479" s="77"/>
      <c r="C479" s="77"/>
      <c r="D479" s="77"/>
      <c r="E479" s="77"/>
    </row>
    <row r="480" spans="2:5">
      <c r="B480" s="77"/>
      <c r="C480" s="77"/>
      <c r="D480" s="77"/>
      <c r="E480" s="77"/>
    </row>
    <row r="481" spans="2:5">
      <c r="B481" s="77"/>
      <c r="C481" s="77"/>
      <c r="D481" s="77"/>
      <c r="E481" s="77"/>
    </row>
    <row r="482" spans="2:5">
      <c r="B482" s="77"/>
      <c r="C482" s="77"/>
      <c r="D482" s="77"/>
      <c r="E482" s="77"/>
    </row>
    <row r="483" spans="2:5">
      <c r="B483" s="77"/>
      <c r="C483" s="77"/>
      <c r="D483" s="77"/>
      <c r="E483" s="77"/>
    </row>
    <row r="484" spans="2:5">
      <c r="B484" s="77"/>
      <c r="C484" s="77"/>
      <c r="D484" s="77"/>
      <c r="E484" s="77"/>
    </row>
    <row r="485" spans="2:5">
      <c r="B485" s="77"/>
      <c r="C485" s="77"/>
      <c r="D485" s="77"/>
      <c r="E485" s="77"/>
    </row>
    <row r="486" spans="2:5">
      <c r="B486" s="77"/>
      <c r="C486" s="77"/>
      <c r="D486" s="77"/>
      <c r="E486" s="77"/>
    </row>
    <row r="487" spans="2:5">
      <c r="B487" s="77"/>
      <c r="C487" s="77"/>
      <c r="D487" s="77"/>
      <c r="E487" s="77"/>
    </row>
    <row r="488" spans="2:5">
      <c r="B488" s="77"/>
      <c r="C488" s="77"/>
      <c r="D488" s="77"/>
      <c r="E488" s="77"/>
    </row>
    <row r="489" spans="2:5">
      <c r="B489" s="77"/>
      <c r="C489" s="77"/>
      <c r="D489" s="77"/>
      <c r="E489" s="77"/>
    </row>
    <row r="490" spans="2:5">
      <c r="B490" s="77"/>
      <c r="C490" s="77"/>
      <c r="D490" s="77"/>
      <c r="E490" s="77"/>
    </row>
    <row r="491" spans="2:5">
      <c r="B491" s="77"/>
      <c r="C491" s="77"/>
      <c r="D491" s="77"/>
      <c r="E491" s="77"/>
    </row>
    <row r="492" spans="2:5">
      <c r="B492" s="77"/>
      <c r="C492" s="77"/>
      <c r="D492" s="77"/>
      <c r="E492" s="77"/>
    </row>
    <row r="493" spans="2:5">
      <c r="B493" s="77"/>
      <c r="C493" s="77"/>
      <c r="D493" s="77"/>
      <c r="E493" s="77"/>
    </row>
    <row r="494" spans="2:5">
      <c r="B494" s="77"/>
      <c r="C494" s="77"/>
      <c r="D494" s="77"/>
      <c r="E494" s="77"/>
    </row>
    <row r="495" spans="2:5">
      <c r="B495" s="77"/>
      <c r="C495" s="77"/>
      <c r="D495" s="77"/>
      <c r="E495" s="77"/>
    </row>
    <row r="496" spans="2:5">
      <c r="B496" s="77"/>
      <c r="C496" s="77"/>
      <c r="D496" s="77"/>
      <c r="E496" s="77"/>
    </row>
    <row r="497" spans="2:5">
      <c r="B497" s="77"/>
      <c r="C497" s="77"/>
      <c r="D497" s="77"/>
      <c r="E497" s="77"/>
    </row>
    <row r="498" spans="2:5">
      <c r="B498" s="77"/>
      <c r="C498" s="77"/>
      <c r="D498" s="77"/>
      <c r="E498" s="77"/>
    </row>
    <row r="499" spans="2:5">
      <c r="B499" s="77"/>
      <c r="C499" s="77"/>
      <c r="D499" s="77"/>
      <c r="E499" s="77"/>
    </row>
    <row r="500" spans="2:5">
      <c r="B500" s="77"/>
      <c r="C500" s="77"/>
      <c r="D500" s="77"/>
      <c r="E500" s="77"/>
    </row>
    <row r="501" spans="2:5">
      <c r="B501" s="77"/>
      <c r="C501" s="77"/>
      <c r="D501" s="77"/>
      <c r="E501" s="77"/>
    </row>
    <row r="502" spans="2:5">
      <c r="B502" s="77"/>
      <c r="C502" s="77"/>
      <c r="D502" s="77"/>
      <c r="E502" s="77"/>
    </row>
    <row r="503" spans="2:5">
      <c r="B503" s="77"/>
      <c r="C503" s="77"/>
      <c r="D503" s="77"/>
      <c r="E503" s="77"/>
    </row>
    <row r="504" spans="2:5">
      <c r="B504" s="77"/>
      <c r="C504" s="77"/>
      <c r="D504" s="77"/>
      <c r="E504" s="77"/>
    </row>
    <row r="505" spans="2:5">
      <c r="B505" s="77"/>
      <c r="C505" s="77"/>
      <c r="D505" s="77"/>
      <c r="E505" s="77"/>
    </row>
    <row r="506" spans="2:5">
      <c r="B506" s="77"/>
      <c r="C506" s="77"/>
      <c r="D506" s="77"/>
      <c r="E506" s="77"/>
    </row>
    <row r="507" spans="2:5">
      <c r="B507" s="77"/>
      <c r="C507" s="77"/>
      <c r="D507" s="77"/>
      <c r="E507" s="77"/>
    </row>
    <row r="508" spans="2:5">
      <c r="B508" s="77"/>
      <c r="C508" s="77"/>
      <c r="D508" s="77"/>
      <c r="E508" s="77"/>
    </row>
    <row r="509" spans="2:5">
      <c r="B509" s="77"/>
      <c r="C509" s="77"/>
      <c r="D509" s="77"/>
      <c r="E509" s="77"/>
    </row>
    <row r="510" spans="2:5">
      <c r="B510" s="77"/>
      <c r="C510" s="77"/>
      <c r="D510" s="77"/>
      <c r="E510" s="77"/>
    </row>
    <row r="511" spans="2:5">
      <c r="B511" s="77"/>
      <c r="C511" s="77"/>
      <c r="D511" s="77"/>
      <c r="E511" s="77"/>
    </row>
    <row r="512" spans="2:5">
      <c r="B512" s="77"/>
      <c r="C512" s="77"/>
      <c r="D512" s="77"/>
      <c r="E512" s="77"/>
    </row>
    <row r="513" spans="2:5">
      <c r="B513" s="77"/>
      <c r="C513" s="77"/>
      <c r="D513" s="77"/>
      <c r="E513" s="77"/>
    </row>
    <row r="514" spans="2:5">
      <c r="B514" s="77"/>
      <c r="C514" s="77"/>
      <c r="D514" s="77"/>
      <c r="E514" s="77"/>
    </row>
    <row r="515" spans="2:5">
      <c r="B515" s="77"/>
      <c r="C515" s="77"/>
      <c r="D515" s="77"/>
      <c r="E515" s="77"/>
    </row>
    <row r="516" spans="2:5">
      <c r="B516" s="77"/>
      <c r="C516" s="77"/>
      <c r="D516" s="77"/>
      <c r="E516" s="77"/>
    </row>
    <row r="517" spans="2:5">
      <c r="B517" s="77"/>
      <c r="C517" s="77"/>
      <c r="D517" s="77"/>
      <c r="E517" s="77"/>
    </row>
    <row r="518" spans="2:5">
      <c r="B518" s="77"/>
      <c r="C518" s="77"/>
      <c r="D518" s="77"/>
      <c r="E518" s="77"/>
    </row>
    <row r="519" spans="2:5">
      <c r="B519" s="77"/>
      <c r="C519" s="77"/>
      <c r="D519" s="77"/>
      <c r="E519" s="77"/>
    </row>
    <row r="520" spans="2:5">
      <c r="B520" s="77"/>
      <c r="C520" s="77"/>
      <c r="D520" s="77"/>
      <c r="E520" s="77"/>
    </row>
    <row r="521" spans="2:5">
      <c r="B521" s="77"/>
      <c r="C521" s="77"/>
      <c r="D521" s="77"/>
      <c r="E521" s="77"/>
    </row>
    <row r="522" spans="2:5">
      <c r="B522" s="77"/>
      <c r="C522" s="77"/>
      <c r="D522" s="77"/>
      <c r="E522" s="77"/>
    </row>
    <row r="523" spans="2:5">
      <c r="B523" s="77"/>
      <c r="C523" s="77"/>
      <c r="D523" s="77"/>
      <c r="E523" s="77"/>
    </row>
    <row r="524" spans="2:5">
      <c r="B524" s="77"/>
      <c r="C524" s="77"/>
      <c r="D524" s="77"/>
      <c r="E524" s="77"/>
    </row>
    <row r="525" spans="2:5">
      <c r="B525" s="77"/>
      <c r="C525" s="77"/>
      <c r="D525" s="77"/>
      <c r="E525" s="77"/>
    </row>
    <row r="526" spans="2:5">
      <c r="B526" s="77"/>
      <c r="C526" s="77"/>
      <c r="D526" s="77"/>
      <c r="E526" s="77"/>
    </row>
    <row r="527" spans="2:5">
      <c r="B527" s="77"/>
      <c r="C527" s="77"/>
      <c r="D527" s="77"/>
      <c r="E527" s="77"/>
    </row>
    <row r="528" spans="2:5">
      <c r="B528" s="77"/>
      <c r="C528" s="77"/>
      <c r="D528" s="77"/>
      <c r="E528" s="77"/>
    </row>
    <row r="529" spans="2:5">
      <c r="B529" s="77"/>
      <c r="C529" s="77"/>
      <c r="D529" s="77"/>
      <c r="E529" s="77"/>
    </row>
    <row r="530" spans="2:5">
      <c r="B530" s="77"/>
      <c r="C530" s="77"/>
      <c r="D530" s="77"/>
      <c r="E530" s="77"/>
    </row>
    <row r="531" spans="2:5">
      <c r="B531" s="77"/>
      <c r="C531" s="77"/>
      <c r="D531" s="77"/>
      <c r="E531" s="77"/>
    </row>
    <row r="532" spans="2:5">
      <c r="B532" s="77"/>
      <c r="C532" s="77"/>
      <c r="D532" s="77"/>
      <c r="E532" s="77"/>
    </row>
    <row r="533" spans="2:5">
      <c r="B533" s="77"/>
      <c r="C533" s="77"/>
      <c r="D533" s="77"/>
      <c r="E533" s="77"/>
    </row>
    <row r="534" spans="2:5">
      <c r="B534" s="77"/>
      <c r="C534" s="77"/>
      <c r="D534" s="77"/>
      <c r="E534" s="77"/>
    </row>
    <row r="535" spans="2:5">
      <c r="B535" s="77"/>
      <c r="C535" s="77"/>
      <c r="D535" s="77"/>
      <c r="E535" s="77"/>
    </row>
    <row r="536" spans="2:5">
      <c r="B536" s="77"/>
      <c r="C536" s="77"/>
      <c r="D536" s="77"/>
      <c r="E536" s="77"/>
    </row>
    <row r="537" spans="2:5">
      <c r="B537" s="77"/>
      <c r="C537" s="77"/>
      <c r="D537" s="77"/>
      <c r="E537" s="77"/>
    </row>
    <row r="538" spans="2:5">
      <c r="B538" s="77"/>
      <c r="C538" s="77"/>
      <c r="D538" s="77"/>
      <c r="E538" s="77"/>
    </row>
    <row r="539" spans="2:5">
      <c r="B539" s="77"/>
      <c r="C539" s="77"/>
      <c r="D539" s="77"/>
      <c r="E539" s="77"/>
    </row>
    <row r="540" spans="2:5">
      <c r="B540" s="77"/>
      <c r="C540" s="77"/>
      <c r="D540" s="77"/>
      <c r="E540" s="77"/>
    </row>
    <row r="541" spans="2:5">
      <c r="B541" s="77"/>
      <c r="C541" s="77"/>
      <c r="D541" s="77"/>
      <c r="E541" s="77"/>
    </row>
    <row r="542" spans="2:5">
      <c r="B542" s="77"/>
      <c r="C542" s="77"/>
      <c r="D542" s="77"/>
      <c r="E542" s="77"/>
    </row>
    <row r="543" spans="2:5">
      <c r="B543" s="77"/>
      <c r="C543" s="77"/>
      <c r="D543" s="77"/>
      <c r="E543" s="77"/>
    </row>
    <row r="544" spans="2:5">
      <c r="B544" s="77"/>
      <c r="C544" s="77"/>
      <c r="D544" s="77"/>
      <c r="E544" s="77"/>
    </row>
    <row r="545" spans="2:5">
      <c r="B545" s="77"/>
      <c r="C545" s="77"/>
      <c r="D545" s="77"/>
      <c r="E545" s="77"/>
    </row>
    <row r="546" spans="2:5">
      <c r="B546" s="77"/>
      <c r="C546" s="77"/>
      <c r="D546" s="77"/>
      <c r="E546" s="77"/>
    </row>
    <row r="547" spans="2:5">
      <c r="B547" s="77"/>
      <c r="C547" s="77"/>
      <c r="D547" s="77"/>
      <c r="E547" s="77"/>
    </row>
    <row r="548" spans="2:5">
      <c r="B548" s="77"/>
      <c r="C548" s="77"/>
      <c r="D548" s="77"/>
      <c r="E548" s="77"/>
    </row>
    <row r="549" spans="2:5">
      <c r="B549" s="77"/>
      <c r="C549" s="77"/>
      <c r="D549" s="77"/>
      <c r="E549" s="77"/>
    </row>
    <row r="550" spans="2:5">
      <c r="B550" s="77"/>
      <c r="C550" s="77"/>
      <c r="D550" s="77"/>
      <c r="E550" s="77"/>
    </row>
    <row r="551" spans="2:5">
      <c r="B551" s="77"/>
      <c r="C551" s="77"/>
      <c r="D551" s="77"/>
      <c r="E551" s="77"/>
    </row>
    <row r="552" spans="2:5">
      <c r="B552" s="77"/>
      <c r="C552" s="77"/>
      <c r="D552" s="77"/>
      <c r="E552" s="77"/>
    </row>
    <row r="553" spans="2:5">
      <c r="B553" s="77"/>
      <c r="C553" s="77"/>
      <c r="D553" s="77"/>
      <c r="E553" s="77"/>
    </row>
    <row r="554" spans="2:5">
      <c r="B554" s="77"/>
      <c r="C554" s="77"/>
      <c r="D554" s="77"/>
      <c r="E554" s="77"/>
    </row>
    <row r="555" spans="2:5">
      <c r="B555" s="77"/>
      <c r="C555" s="77"/>
      <c r="D555" s="77"/>
      <c r="E555" s="77"/>
    </row>
    <row r="556" spans="2:5">
      <c r="B556" s="77"/>
      <c r="C556" s="77"/>
      <c r="D556" s="77"/>
      <c r="E556" s="77"/>
    </row>
    <row r="557" spans="2:5">
      <c r="B557" s="77"/>
      <c r="C557" s="77"/>
      <c r="D557" s="77"/>
      <c r="E557" s="77"/>
    </row>
    <row r="558" spans="2:5">
      <c r="B558" s="77"/>
      <c r="C558" s="77"/>
      <c r="D558" s="77"/>
      <c r="E558" s="77"/>
    </row>
    <row r="559" spans="2:5">
      <c r="B559" s="77"/>
      <c r="C559" s="77"/>
      <c r="D559" s="77"/>
      <c r="E559" s="77"/>
    </row>
    <row r="560" spans="2:5">
      <c r="B560" s="77"/>
      <c r="C560" s="77"/>
      <c r="D560" s="77"/>
      <c r="E560" s="77"/>
    </row>
    <row r="561" spans="2:5">
      <c r="B561" s="77"/>
      <c r="C561" s="77"/>
      <c r="D561" s="77"/>
      <c r="E561" s="77"/>
    </row>
    <row r="562" spans="2:5">
      <c r="B562" s="77"/>
      <c r="C562" s="77"/>
      <c r="D562" s="77"/>
      <c r="E562" s="77"/>
    </row>
    <row r="563" spans="2:5">
      <c r="B563" s="77"/>
      <c r="C563" s="77"/>
      <c r="D563" s="77"/>
      <c r="E563" s="77"/>
    </row>
    <row r="564" spans="2:5">
      <c r="B564" s="77"/>
      <c r="C564" s="77"/>
      <c r="D564" s="77"/>
      <c r="E564" s="77"/>
    </row>
    <row r="565" spans="2:5">
      <c r="B565" s="77"/>
      <c r="C565" s="77"/>
      <c r="D565" s="77"/>
      <c r="E565" s="77"/>
    </row>
    <row r="566" spans="2:5">
      <c r="B566" s="77"/>
      <c r="C566" s="77"/>
      <c r="D566" s="77"/>
      <c r="E566" s="77"/>
    </row>
    <row r="567" spans="2:5">
      <c r="B567" s="77"/>
      <c r="C567" s="77"/>
      <c r="D567" s="77"/>
      <c r="E567" s="77"/>
    </row>
    <row r="568" spans="2:5">
      <c r="B568" s="77"/>
      <c r="C568" s="77"/>
      <c r="D568" s="77"/>
      <c r="E568" s="77"/>
    </row>
    <row r="569" spans="2:5">
      <c r="B569" s="77"/>
      <c r="C569" s="77"/>
      <c r="D569" s="77"/>
      <c r="E569" s="77"/>
    </row>
    <row r="570" spans="2:5">
      <c r="B570" s="77"/>
      <c r="C570" s="77"/>
      <c r="D570" s="77"/>
      <c r="E570" s="77"/>
    </row>
    <row r="571" spans="2:5">
      <c r="B571" s="77"/>
      <c r="C571" s="77"/>
      <c r="D571" s="77"/>
      <c r="E571" s="77"/>
    </row>
    <row r="572" spans="2:5">
      <c r="B572" s="77"/>
      <c r="C572" s="77"/>
      <c r="D572" s="77"/>
      <c r="E572" s="77"/>
    </row>
    <row r="573" spans="2:5">
      <c r="B573" s="77"/>
      <c r="C573" s="77"/>
      <c r="D573" s="77"/>
      <c r="E573" s="77"/>
    </row>
    <row r="574" spans="2:5">
      <c r="B574" s="77"/>
      <c r="C574" s="77"/>
      <c r="D574" s="77"/>
      <c r="E574" s="77"/>
    </row>
    <row r="575" spans="2:5">
      <c r="B575" s="77"/>
      <c r="C575" s="77"/>
      <c r="D575" s="77"/>
      <c r="E575" s="77"/>
    </row>
    <row r="576" spans="2:5">
      <c r="B576" s="77"/>
      <c r="C576" s="77"/>
      <c r="D576" s="77"/>
      <c r="E576" s="77"/>
    </row>
    <row r="577" spans="2:5">
      <c r="B577" s="77"/>
      <c r="C577" s="77"/>
      <c r="D577" s="77"/>
      <c r="E577" s="77"/>
    </row>
    <row r="578" spans="2:5">
      <c r="B578" s="77"/>
      <c r="C578" s="77"/>
      <c r="D578" s="77"/>
      <c r="E578" s="77"/>
    </row>
    <row r="579" spans="2:5">
      <c r="B579" s="77"/>
      <c r="C579" s="77"/>
      <c r="D579" s="77"/>
      <c r="E579" s="77"/>
    </row>
    <row r="580" spans="2:5">
      <c r="B580" s="77"/>
      <c r="C580" s="77"/>
      <c r="D580" s="77"/>
      <c r="E580" s="77"/>
    </row>
    <row r="581" spans="2:5">
      <c r="B581" s="77"/>
      <c r="C581" s="77"/>
      <c r="D581" s="77"/>
      <c r="E581" s="77"/>
    </row>
    <row r="582" spans="2:5">
      <c r="B582" s="77"/>
      <c r="C582" s="77"/>
      <c r="D582" s="77"/>
      <c r="E582" s="77"/>
    </row>
    <row r="583" spans="2:5">
      <c r="B583" s="77"/>
      <c r="C583" s="77"/>
      <c r="D583" s="77"/>
      <c r="E583" s="77"/>
    </row>
    <row r="584" spans="2:5">
      <c r="B584" s="77"/>
      <c r="C584" s="77"/>
      <c r="D584" s="77"/>
      <c r="E584" s="77"/>
    </row>
    <row r="585" spans="2:5">
      <c r="B585" s="77"/>
      <c r="C585" s="77"/>
      <c r="D585" s="77"/>
      <c r="E585" s="77"/>
    </row>
    <row r="586" spans="2:5">
      <c r="B586" s="77"/>
      <c r="C586" s="77"/>
      <c r="D586" s="77"/>
      <c r="E586" s="77"/>
    </row>
    <row r="587" spans="2:5">
      <c r="B587" s="77"/>
      <c r="C587" s="77"/>
      <c r="D587" s="77"/>
      <c r="E587" s="77"/>
    </row>
    <row r="588" spans="2:5">
      <c r="B588" s="77"/>
      <c r="C588" s="77"/>
      <c r="D588" s="77"/>
      <c r="E588" s="77"/>
    </row>
    <row r="589" spans="2:5">
      <c r="B589" s="77"/>
      <c r="C589" s="77"/>
      <c r="D589" s="77"/>
      <c r="E589" s="77"/>
    </row>
    <row r="590" spans="2:5">
      <c r="B590" s="77"/>
      <c r="C590" s="77"/>
      <c r="D590" s="77"/>
      <c r="E590" s="77"/>
    </row>
    <row r="591" spans="2:5">
      <c r="B591" s="77"/>
      <c r="C591" s="77"/>
      <c r="D591" s="77"/>
      <c r="E591" s="77"/>
    </row>
    <row r="592" spans="2:5">
      <c r="B592" s="77"/>
      <c r="C592" s="77"/>
      <c r="D592" s="77"/>
      <c r="E592" s="77"/>
    </row>
    <row r="593" spans="2:5">
      <c r="B593" s="77"/>
      <c r="C593" s="77"/>
      <c r="D593" s="77"/>
      <c r="E593" s="77"/>
    </row>
    <row r="594" spans="2:5">
      <c r="B594" s="77"/>
      <c r="C594" s="77"/>
      <c r="D594" s="77"/>
      <c r="E594" s="77"/>
    </row>
    <row r="595" spans="2:5">
      <c r="B595" s="77"/>
      <c r="C595" s="77"/>
      <c r="D595" s="77"/>
      <c r="E595" s="77"/>
    </row>
    <row r="596" spans="2:5">
      <c r="B596" s="77"/>
      <c r="C596" s="77"/>
      <c r="D596" s="77"/>
      <c r="E596" s="77"/>
    </row>
    <row r="597" spans="2:5">
      <c r="B597" s="77"/>
      <c r="C597" s="77"/>
      <c r="D597" s="77"/>
      <c r="E597" s="77"/>
    </row>
    <row r="598" spans="2:5">
      <c r="B598" s="77"/>
      <c r="C598" s="77"/>
      <c r="D598" s="77"/>
      <c r="E598" s="77"/>
    </row>
    <row r="599" spans="2:5">
      <c r="B599" s="77"/>
      <c r="C599" s="77"/>
      <c r="D599" s="77"/>
      <c r="E599" s="77"/>
    </row>
    <row r="600" spans="2:5">
      <c r="B600" s="77"/>
      <c r="C600" s="77"/>
      <c r="D600" s="77"/>
      <c r="E600" s="77"/>
    </row>
    <row r="601" spans="2:5">
      <c r="B601" s="77"/>
      <c r="C601" s="77"/>
      <c r="D601" s="77"/>
      <c r="E601" s="77"/>
    </row>
    <row r="602" spans="2:5">
      <c r="B602" s="77"/>
      <c r="C602" s="77"/>
      <c r="D602" s="77"/>
      <c r="E602" s="77"/>
    </row>
    <row r="603" spans="2:5">
      <c r="B603" s="77"/>
      <c r="C603" s="77"/>
      <c r="D603" s="77"/>
      <c r="E603" s="77"/>
    </row>
    <row r="604" spans="2:5">
      <c r="B604" s="77"/>
      <c r="C604" s="77"/>
      <c r="D604" s="77"/>
      <c r="E604" s="77"/>
    </row>
    <row r="605" spans="2:5">
      <c r="B605" s="77"/>
      <c r="C605" s="77"/>
      <c r="D605" s="77"/>
      <c r="E605" s="77"/>
    </row>
    <row r="606" spans="2:5">
      <c r="B606" s="77"/>
      <c r="C606" s="77"/>
      <c r="D606" s="77"/>
      <c r="E606" s="77"/>
    </row>
    <row r="607" spans="2:5">
      <c r="B607" s="77"/>
      <c r="C607" s="77"/>
      <c r="D607" s="77"/>
      <c r="E607" s="77"/>
    </row>
    <row r="608" spans="2:5">
      <c r="B608" s="77"/>
      <c r="C608" s="77"/>
      <c r="D608" s="77"/>
      <c r="E608" s="77"/>
    </row>
    <row r="609" spans="2:5">
      <c r="B609" s="77"/>
      <c r="C609" s="77"/>
      <c r="D609" s="77"/>
      <c r="E609" s="77"/>
    </row>
    <row r="610" spans="2:5">
      <c r="B610" s="77"/>
      <c r="C610" s="77"/>
      <c r="D610" s="77"/>
      <c r="E610" s="77"/>
    </row>
    <row r="611" spans="2:5">
      <c r="B611" s="77"/>
      <c r="C611" s="77"/>
      <c r="D611" s="77"/>
      <c r="E611" s="77"/>
    </row>
    <row r="612" spans="2:5">
      <c r="B612" s="77"/>
      <c r="C612" s="77"/>
      <c r="D612" s="77"/>
      <c r="E612" s="77"/>
    </row>
    <row r="613" spans="2:5">
      <c r="B613" s="77"/>
      <c r="C613" s="77"/>
      <c r="D613" s="77"/>
      <c r="E613" s="77"/>
    </row>
    <row r="614" spans="2:5">
      <c r="B614" s="77"/>
      <c r="C614" s="77"/>
      <c r="D614" s="77"/>
      <c r="E614" s="77"/>
    </row>
    <row r="615" spans="2:5">
      <c r="B615" s="77"/>
      <c r="C615" s="77"/>
      <c r="D615" s="77"/>
      <c r="E615" s="77"/>
    </row>
    <row r="616" spans="2:5">
      <c r="B616" s="77"/>
      <c r="C616" s="77"/>
      <c r="D616" s="77"/>
      <c r="E616" s="77"/>
    </row>
    <row r="617" spans="2:5">
      <c r="B617" s="77"/>
      <c r="C617" s="77"/>
      <c r="D617" s="77"/>
      <c r="E617" s="77"/>
    </row>
    <row r="618" spans="2:5">
      <c r="B618" s="77"/>
      <c r="C618" s="77"/>
      <c r="D618" s="77"/>
      <c r="E618" s="77"/>
    </row>
    <row r="619" spans="2:5">
      <c r="B619" s="77"/>
      <c r="C619" s="77"/>
      <c r="D619" s="77"/>
      <c r="E619" s="77"/>
    </row>
    <row r="620" spans="2:5">
      <c r="B620" s="77"/>
      <c r="C620" s="77"/>
      <c r="D620" s="77"/>
      <c r="E620" s="77"/>
    </row>
    <row r="621" spans="2:5">
      <c r="B621" s="77"/>
      <c r="C621" s="77"/>
      <c r="D621" s="77"/>
      <c r="E621" s="77"/>
    </row>
    <row r="622" spans="2:5">
      <c r="B622" s="77"/>
      <c r="C622" s="77"/>
      <c r="D622" s="77"/>
      <c r="E622" s="77"/>
    </row>
    <row r="623" spans="2:5">
      <c r="B623" s="77"/>
      <c r="C623" s="77"/>
      <c r="D623" s="77"/>
      <c r="E623" s="77"/>
    </row>
    <row r="624" spans="2:5">
      <c r="B624" s="77"/>
      <c r="C624" s="77"/>
      <c r="D624" s="77"/>
      <c r="E624" s="77"/>
    </row>
    <row r="625" spans="2:5">
      <c r="B625" s="77"/>
      <c r="C625" s="77"/>
      <c r="D625" s="77"/>
      <c r="E625" s="77"/>
    </row>
    <row r="626" spans="2:5">
      <c r="B626" s="77"/>
      <c r="C626" s="77"/>
      <c r="D626" s="77"/>
      <c r="E626" s="77"/>
    </row>
    <row r="627" spans="2:5">
      <c r="B627" s="77"/>
      <c r="C627" s="77"/>
      <c r="D627" s="77"/>
      <c r="E627" s="77"/>
    </row>
    <row r="628" spans="2:5">
      <c r="B628" s="77"/>
      <c r="C628" s="77"/>
      <c r="D628" s="77"/>
      <c r="E628" s="77"/>
    </row>
    <row r="629" spans="2:5">
      <c r="B629" s="77"/>
      <c r="C629" s="77"/>
      <c r="D629" s="77"/>
      <c r="E629" s="77"/>
    </row>
    <row r="630" spans="2:5">
      <c r="B630" s="77"/>
      <c r="C630" s="77"/>
      <c r="D630" s="77"/>
      <c r="E630" s="77"/>
    </row>
    <row r="631" spans="2:5">
      <c r="B631" s="77"/>
      <c r="C631" s="77"/>
      <c r="D631" s="77"/>
      <c r="E631" s="77"/>
    </row>
    <row r="632" spans="2:5">
      <c r="B632" s="77"/>
      <c r="C632" s="77"/>
      <c r="D632" s="77"/>
      <c r="E632" s="77"/>
    </row>
    <row r="633" spans="2:5">
      <c r="B633" s="77"/>
      <c r="C633" s="77"/>
      <c r="D633" s="77"/>
      <c r="E633" s="77"/>
    </row>
    <row r="634" spans="2:5">
      <c r="B634" s="77"/>
      <c r="C634" s="77"/>
      <c r="D634" s="77"/>
      <c r="E634" s="77"/>
    </row>
    <row r="635" spans="2:5">
      <c r="B635" s="77"/>
      <c r="C635" s="77"/>
      <c r="D635" s="77"/>
      <c r="E635" s="77"/>
    </row>
    <row r="636" spans="2:5">
      <c r="B636" s="77"/>
      <c r="C636" s="77"/>
      <c r="D636" s="77"/>
      <c r="E636" s="77"/>
    </row>
    <row r="637" spans="2:5">
      <c r="B637" s="77"/>
      <c r="C637" s="77"/>
      <c r="D637" s="77"/>
      <c r="E637" s="77"/>
    </row>
    <row r="638" spans="2:5">
      <c r="B638" s="77"/>
      <c r="C638" s="77"/>
      <c r="D638" s="77"/>
      <c r="E638" s="77"/>
    </row>
    <row r="639" spans="2:5">
      <c r="B639" s="77"/>
      <c r="C639" s="77"/>
      <c r="D639" s="77"/>
      <c r="E639" s="77"/>
    </row>
    <row r="640" spans="2:5">
      <c r="B640" s="77"/>
      <c r="C640" s="77"/>
      <c r="D640" s="77"/>
      <c r="E640" s="77"/>
    </row>
    <row r="641" spans="2:5">
      <c r="B641" s="77"/>
      <c r="C641" s="77"/>
      <c r="D641" s="77"/>
      <c r="E641" s="77"/>
    </row>
    <row r="642" spans="2:5">
      <c r="B642" s="77"/>
      <c r="C642" s="77"/>
      <c r="D642" s="77"/>
      <c r="E642" s="77"/>
    </row>
    <row r="643" spans="2:5">
      <c r="B643" s="77"/>
      <c r="C643" s="77"/>
      <c r="D643" s="77"/>
      <c r="E643" s="77"/>
    </row>
    <row r="644" spans="2:5">
      <c r="B644" s="77"/>
      <c r="C644" s="77"/>
      <c r="D644" s="77"/>
      <c r="E644" s="77"/>
    </row>
    <row r="645" spans="2:5">
      <c r="B645" s="77"/>
      <c r="C645" s="77"/>
      <c r="D645" s="77"/>
      <c r="E645" s="77"/>
    </row>
    <row r="646" spans="2:5">
      <c r="B646" s="77"/>
      <c r="C646" s="77"/>
      <c r="D646" s="77"/>
      <c r="E646" s="77"/>
    </row>
    <row r="647" spans="2:5">
      <c r="B647" s="77"/>
      <c r="C647" s="77"/>
      <c r="D647" s="77"/>
      <c r="E647" s="77"/>
    </row>
    <row r="648" spans="2:5">
      <c r="B648" s="77"/>
      <c r="C648" s="77"/>
      <c r="D648" s="77"/>
      <c r="E648" s="77"/>
    </row>
    <row r="649" spans="2:5">
      <c r="B649" s="77"/>
      <c r="C649" s="77"/>
      <c r="D649" s="77"/>
      <c r="E649" s="77"/>
    </row>
    <row r="650" spans="2:5">
      <c r="B650" s="77"/>
      <c r="C650" s="77"/>
      <c r="D650" s="77"/>
      <c r="E650" s="77"/>
    </row>
    <row r="651" spans="2:5">
      <c r="B651" s="77"/>
      <c r="C651" s="77"/>
      <c r="D651" s="77"/>
      <c r="E651" s="77"/>
    </row>
    <row r="652" spans="2:5">
      <c r="B652" s="77"/>
      <c r="C652" s="77"/>
      <c r="D652" s="77"/>
      <c r="E652" s="77"/>
    </row>
    <row r="653" spans="2:5">
      <c r="B653" s="77"/>
      <c r="C653" s="77"/>
      <c r="D653" s="77"/>
      <c r="E653" s="77"/>
    </row>
    <row r="654" spans="2:5">
      <c r="B654" s="77"/>
      <c r="C654" s="77"/>
      <c r="D654" s="77"/>
      <c r="E654" s="77"/>
    </row>
    <row r="655" spans="2:5">
      <c r="B655" s="77"/>
      <c r="C655" s="77"/>
      <c r="D655" s="77"/>
      <c r="E655" s="77"/>
    </row>
    <row r="656" spans="2:5">
      <c r="B656" s="77"/>
      <c r="C656" s="77"/>
      <c r="D656" s="77"/>
      <c r="E656" s="77"/>
    </row>
    <row r="657" spans="2:5">
      <c r="B657" s="77"/>
      <c r="C657" s="77"/>
      <c r="D657" s="77"/>
      <c r="E657" s="77"/>
    </row>
    <row r="658" spans="2:5">
      <c r="B658" s="77"/>
      <c r="C658" s="77"/>
      <c r="D658" s="77"/>
      <c r="E658" s="77"/>
    </row>
    <row r="659" spans="2:5">
      <c r="B659" s="77"/>
      <c r="C659" s="77"/>
      <c r="D659" s="77"/>
      <c r="E659" s="77"/>
    </row>
    <row r="660" spans="2:5">
      <c r="B660" s="77"/>
      <c r="C660" s="77"/>
      <c r="D660" s="77"/>
      <c r="E660" s="77"/>
    </row>
    <row r="661" spans="2:5">
      <c r="B661" s="77"/>
      <c r="C661" s="77"/>
      <c r="D661" s="77"/>
      <c r="E661" s="77"/>
    </row>
    <row r="662" spans="2:5">
      <c r="B662" s="77"/>
      <c r="C662" s="77"/>
      <c r="D662" s="77"/>
      <c r="E662" s="77"/>
    </row>
    <row r="663" spans="2:5">
      <c r="B663" s="77"/>
      <c r="C663" s="77"/>
      <c r="D663" s="77"/>
      <c r="E663" s="77"/>
    </row>
    <row r="664" spans="2:5">
      <c r="B664" s="77"/>
      <c r="C664" s="77"/>
      <c r="D664" s="77"/>
      <c r="E664" s="77"/>
    </row>
    <row r="665" spans="2:5">
      <c r="B665" s="77"/>
      <c r="C665" s="77"/>
      <c r="D665" s="77"/>
      <c r="E665" s="77"/>
    </row>
    <row r="666" spans="2:5">
      <c r="B666" s="77"/>
      <c r="C666" s="77"/>
      <c r="D666" s="77"/>
      <c r="E666" s="77"/>
    </row>
    <row r="667" spans="2:5">
      <c r="B667" s="77"/>
      <c r="C667" s="77"/>
      <c r="D667" s="77"/>
      <c r="E667" s="77"/>
    </row>
    <row r="668" spans="2:5">
      <c r="B668" s="77"/>
      <c r="C668" s="77"/>
      <c r="D668" s="77"/>
      <c r="E668" s="77"/>
    </row>
    <row r="669" spans="2:5">
      <c r="B669" s="77"/>
      <c r="C669" s="77"/>
      <c r="D669" s="77"/>
      <c r="E669" s="77"/>
    </row>
    <row r="670" spans="2:5">
      <c r="B670" s="77"/>
      <c r="C670" s="77"/>
      <c r="D670" s="77"/>
      <c r="E670" s="77"/>
    </row>
    <row r="671" spans="2:5">
      <c r="B671" s="77"/>
      <c r="C671" s="77"/>
      <c r="D671" s="77"/>
      <c r="E671" s="77"/>
    </row>
    <row r="672" spans="2:5">
      <c r="B672" s="77"/>
      <c r="C672" s="77"/>
      <c r="D672" s="77"/>
      <c r="E672" s="77"/>
    </row>
    <row r="673" spans="2:5">
      <c r="B673" s="77"/>
      <c r="C673" s="77"/>
      <c r="D673" s="77"/>
      <c r="E673" s="77"/>
    </row>
    <row r="674" spans="2:5">
      <c r="B674" s="77"/>
      <c r="C674" s="77"/>
      <c r="D674" s="77"/>
      <c r="E674" s="77"/>
    </row>
    <row r="675" spans="2:5">
      <c r="B675" s="77"/>
      <c r="C675" s="77"/>
      <c r="D675" s="77"/>
      <c r="E675" s="77"/>
    </row>
    <row r="676" spans="2:5">
      <c r="B676" s="77"/>
      <c r="C676" s="77"/>
      <c r="D676" s="77"/>
      <c r="E676" s="77"/>
    </row>
    <row r="677" spans="2:5">
      <c r="B677" s="77"/>
      <c r="C677" s="77"/>
      <c r="D677" s="77"/>
      <c r="E677" s="77"/>
    </row>
    <row r="678" spans="2:5">
      <c r="B678" s="77"/>
      <c r="C678" s="77"/>
      <c r="D678" s="77"/>
      <c r="E678" s="77"/>
    </row>
    <row r="679" spans="2:5">
      <c r="B679" s="77"/>
      <c r="C679" s="77"/>
      <c r="D679" s="77"/>
      <c r="E679" s="77"/>
    </row>
    <row r="680" spans="2:5">
      <c r="B680" s="77"/>
      <c r="C680" s="77"/>
      <c r="D680" s="77"/>
      <c r="E680" s="77"/>
    </row>
    <row r="681" spans="2:5">
      <c r="B681" s="77"/>
      <c r="C681" s="77"/>
      <c r="D681" s="77"/>
      <c r="E681" s="77"/>
    </row>
    <row r="682" spans="2:5">
      <c r="B682" s="77"/>
      <c r="C682" s="77"/>
      <c r="D682" s="77"/>
      <c r="E682" s="77"/>
    </row>
    <row r="683" spans="2:5">
      <c r="B683" s="77"/>
      <c r="C683" s="77"/>
      <c r="D683" s="77"/>
      <c r="E683" s="77"/>
    </row>
    <row r="684" spans="2:5">
      <c r="B684" s="77"/>
      <c r="C684" s="77"/>
      <c r="D684" s="77"/>
      <c r="E684" s="77"/>
    </row>
    <row r="685" spans="2:5">
      <c r="B685" s="77"/>
      <c r="C685" s="77"/>
      <c r="D685" s="77"/>
      <c r="E685" s="77"/>
    </row>
    <row r="686" spans="2:5">
      <c r="B686" s="77"/>
      <c r="C686" s="77"/>
      <c r="D686" s="77"/>
      <c r="E686" s="77"/>
    </row>
    <row r="687" spans="2:5">
      <c r="B687" s="77"/>
      <c r="C687" s="77"/>
      <c r="D687" s="77"/>
      <c r="E687" s="77"/>
    </row>
    <row r="688" spans="2:5">
      <c r="B688" s="77"/>
      <c r="C688" s="77"/>
      <c r="D688" s="77"/>
      <c r="E688" s="77"/>
    </row>
    <row r="689" spans="2:5">
      <c r="B689" s="77"/>
      <c r="C689" s="77"/>
      <c r="D689" s="77"/>
      <c r="E689" s="77"/>
    </row>
    <row r="690" spans="2:5">
      <c r="B690" s="77"/>
      <c r="C690" s="77"/>
      <c r="D690" s="77"/>
      <c r="E690" s="77"/>
    </row>
    <row r="691" spans="2:5">
      <c r="B691" s="77"/>
      <c r="C691" s="77"/>
      <c r="D691" s="77"/>
      <c r="E691" s="77"/>
    </row>
    <row r="692" spans="2:5">
      <c r="B692" s="77"/>
      <c r="C692" s="77"/>
      <c r="D692" s="77"/>
      <c r="E692" s="77"/>
    </row>
    <row r="693" spans="2:5">
      <c r="B693" s="77"/>
      <c r="C693" s="77"/>
      <c r="D693" s="77"/>
      <c r="E693" s="77"/>
    </row>
    <row r="694" spans="2:5">
      <c r="B694" s="77"/>
      <c r="C694" s="77"/>
      <c r="D694" s="77"/>
      <c r="E694" s="77"/>
    </row>
    <row r="695" spans="2:5">
      <c r="B695" s="77"/>
      <c r="C695" s="77"/>
      <c r="D695" s="77"/>
      <c r="E695" s="77"/>
    </row>
    <row r="696" spans="2:5">
      <c r="B696" s="77"/>
      <c r="C696" s="77"/>
      <c r="D696" s="77"/>
      <c r="E696" s="77"/>
    </row>
    <row r="697" spans="2:5">
      <c r="B697" s="77"/>
      <c r="C697" s="77"/>
      <c r="D697" s="77"/>
      <c r="E697" s="77"/>
    </row>
    <row r="698" spans="2:5">
      <c r="B698" s="77"/>
      <c r="C698" s="77"/>
      <c r="D698" s="77"/>
      <c r="E698" s="77"/>
    </row>
    <row r="699" spans="2:5">
      <c r="B699" s="77"/>
      <c r="C699" s="77"/>
      <c r="D699" s="77"/>
      <c r="E699" s="77"/>
    </row>
    <row r="700" spans="2:5">
      <c r="B700" s="77"/>
      <c r="C700" s="77"/>
      <c r="D700" s="77"/>
      <c r="E700" s="77"/>
    </row>
    <row r="701" spans="2:5">
      <c r="B701" s="77"/>
      <c r="C701" s="77"/>
      <c r="D701" s="77"/>
      <c r="E701" s="77"/>
    </row>
    <row r="702" spans="2:5">
      <c r="B702" s="77"/>
      <c r="C702" s="77"/>
      <c r="D702" s="77"/>
      <c r="E702" s="77"/>
    </row>
    <row r="703" spans="2:5">
      <c r="B703" s="77"/>
      <c r="C703" s="77"/>
      <c r="D703" s="77"/>
      <c r="E703" s="77"/>
    </row>
    <row r="704" spans="2:5">
      <c r="B704" s="77"/>
      <c r="C704" s="77"/>
      <c r="D704" s="77"/>
      <c r="E704" s="77"/>
    </row>
    <row r="705" spans="2:5">
      <c r="B705" s="77"/>
      <c r="C705" s="77"/>
      <c r="D705" s="77"/>
      <c r="E705" s="77"/>
    </row>
    <row r="706" spans="2:5">
      <c r="B706" s="77"/>
      <c r="C706" s="77"/>
      <c r="D706" s="77"/>
      <c r="E706" s="77"/>
    </row>
    <row r="707" spans="2:5">
      <c r="B707" s="77"/>
      <c r="C707" s="77"/>
      <c r="D707" s="77"/>
      <c r="E707" s="77"/>
    </row>
    <row r="708" spans="2:5">
      <c r="B708" s="77"/>
      <c r="C708" s="77"/>
      <c r="D708" s="77"/>
      <c r="E708" s="77"/>
    </row>
    <row r="709" spans="2:5">
      <c r="B709" s="77"/>
      <c r="C709" s="77"/>
      <c r="D709" s="77"/>
      <c r="E709" s="77"/>
    </row>
    <row r="710" spans="2:5">
      <c r="B710" s="77"/>
      <c r="C710" s="77"/>
      <c r="D710" s="77"/>
      <c r="E710" s="77"/>
    </row>
    <row r="711" spans="2:5">
      <c r="B711" s="77"/>
      <c r="C711" s="77"/>
      <c r="D711" s="77"/>
      <c r="E711" s="77"/>
    </row>
    <row r="712" spans="2:5">
      <c r="B712" s="77"/>
      <c r="C712" s="77"/>
      <c r="D712" s="77"/>
      <c r="E712" s="77"/>
    </row>
    <row r="713" spans="2:5">
      <c r="B713" s="77"/>
      <c r="C713" s="77"/>
      <c r="D713" s="77"/>
      <c r="E713" s="77"/>
    </row>
    <row r="714" spans="2:5">
      <c r="B714" s="77"/>
      <c r="C714" s="77"/>
      <c r="D714" s="77"/>
      <c r="E714" s="77"/>
    </row>
    <row r="715" spans="2:5">
      <c r="B715" s="77"/>
      <c r="C715" s="77"/>
      <c r="D715" s="77"/>
      <c r="E715" s="77"/>
    </row>
    <row r="716" spans="2:5">
      <c r="B716" s="77"/>
      <c r="C716" s="77"/>
      <c r="D716" s="77"/>
      <c r="E716" s="77"/>
    </row>
    <row r="717" spans="2:5">
      <c r="B717" s="77"/>
      <c r="C717" s="77"/>
      <c r="D717" s="77"/>
      <c r="E717" s="77"/>
    </row>
    <row r="718" spans="2:5">
      <c r="B718" s="77"/>
      <c r="C718" s="77"/>
      <c r="D718" s="77"/>
      <c r="E718" s="77"/>
    </row>
    <row r="719" spans="2:5">
      <c r="B719" s="77"/>
      <c r="C719" s="77"/>
      <c r="D719" s="77"/>
      <c r="E719" s="77"/>
    </row>
    <row r="720" spans="2:5">
      <c r="B720" s="77"/>
      <c r="C720" s="77"/>
      <c r="D720" s="77"/>
      <c r="E720" s="77"/>
    </row>
    <row r="721" spans="2:5">
      <c r="B721" s="77"/>
      <c r="C721" s="77"/>
      <c r="D721" s="77"/>
      <c r="E721" s="77"/>
    </row>
    <row r="722" spans="2:5">
      <c r="B722" s="77"/>
      <c r="C722" s="77"/>
      <c r="D722" s="77"/>
      <c r="E722" s="77"/>
    </row>
    <row r="723" spans="2:5">
      <c r="B723" s="77"/>
      <c r="C723" s="77"/>
      <c r="D723" s="77"/>
      <c r="E723" s="77"/>
    </row>
    <row r="724" spans="2:5">
      <c r="B724" s="77"/>
      <c r="C724" s="77"/>
      <c r="D724" s="77"/>
      <c r="E724" s="77"/>
    </row>
    <row r="725" spans="2:5">
      <c r="B725" s="77"/>
      <c r="C725" s="77"/>
      <c r="D725" s="77"/>
      <c r="E725" s="77"/>
    </row>
    <row r="726" spans="2:5">
      <c r="B726" s="77"/>
      <c r="C726" s="77"/>
      <c r="D726" s="77"/>
      <c r="E726" s="77"/>
    </row>
    <row r="727" spans="2:5">
      <c r="B727" s="77"/>
      <c r="C727" s="77"/>
      <c r="D727" s="77"/>
      <c r="E727" s="77"/>
    </row>
    <row r="728" spans="2:5">
      <c r="B728" s="77"/>
      <c r="C728" s="77"/>
      <c r="D728" s="77"/>
      <c r="E728" s="77"/>
    </row>
    <row r="729" spans="2:5">
      <c r="B729" s="77"/>
      <c r="C729" s="77"/>
      <c r="D729" s="77"/>
      <c r="E729" s="77"/>
    </row>
    <row r="730" spans="2:5">
      <c r="B730" s="77"/>
      <c r="C730" s="77"/>
      <c r="D730" s="77"/>
      <c r="E730" s="77"/>
    </row>
    <row r="731" spans="2:5">
      <c r="B731" s="77"/>
      <c r="C731" s="77"/>
      <c r="D731" s="77"/>
      <c r="E731" s="77"/>
    </row>
    <row r="732" spans="2:5">
      <c r="B732" s="77"/>
      <c r="C732" s="77"/>
      <c r="D732" s="77"/>
      <c r="E732" s="77"/>
    </row>
    <row r="733" spans="2:5">
      <c r="B733" s="77"/>
      <c r="C733" s="77"/>
      <c r="D733" s="77"/>
      <c r="E733" s="77"/>
    </row>
    <row r="734" spans="2:5">
      <c r="B734" s="77"/>
      <c r="C734" s="77"/>
      <c r="D734" s="77"/>
      <c r="E734" s="77"/>
    </row>
    <row r="735" spans="2:5">
      <c r="B735" s="77"/>
      <c r="C735" s="77"/>
      <c r="D735" s="77"/>
      <c r="E735" s="77"/>
    </row>
    <row r="736" spans="2:5">
      <c r="B736" s="77"/>
      <c r="C736" s="77"/>
      <c r="D736" s="77"/>
      <c r="E736" s="77"/>
    </row>
    <row r="737" spans="2:5">
      <c r="B737" s="77"/>
      <c r="C737" s="77"/>
      <c r="D737" s="77"/>
      <c r="E737" s="77"/>
    </row>
    <row r="738" spans="2:5">
      <c r="B738" s="77"/>
      <c r="C738" s="77"/>
      <c r="D738" s="77"/>
      <c r="E738" s="77"/>
    </row>
    <row r="739" spans="2:5">
      <c r="B739" s="77"/>
      <c r="C739" s="77"/>
      <c r="D739" s="77"/>
      <c r="E739" s="77"/>
    </row>
    <row r="740" spans="2:5">
      <c r="B740" s="77"/>
      <c r="C740" s="77"/>
      <c r="D740" s="77"/>
      <c r="E740" s="77"/>
    </row>
    <row r="741" spans="2:5">
      <c r="B741" s="77"/>
      <c r="C741" s="77"/>
      <c r="D741" s="77"/>
      <c r="E741" s="77"/>
    </row>
    <row r="742" spans="2:5">
      <c r="B742" s="77"/>
      <c r="C742" s="77"/>
      <c r="D742" s="77"/>
      <c r="E742" s="77"/>
    </row>
    <row r="743" spans="2:5">
      <c r="B743" s="77"/>
      <c r="C743" s="77"/>
      <c r="D743" s="77"/>
      <c r="E743" s="77"/>
    </row>
    <row r="744" spans="2:5">
      <c r="B744" s="77"/>
      <c r="C744" s="77"/>
      <c r="D744" s="77"/>
      <c r="E744" s="77"/>
    </row>
    <row r="745" spans="2:5">
      <c r="B745" s="77"/>
      <c r="C745" s="77"/>
      <c r="D745" s="77"/>
      <c r="E745" s="77"/>
    </row>
    <row r="746" spans="2:5">
      <c r="B746" s="77"/>
      <c r="C746" s="77"/>
      <c r="D746" s="77"/>
      <c r="E746" s="77"/>
    </row>
    <row r="747" spans="2:5">
      <c r="B747" s="77"/>
      <c r="C747" s="77"/>
      <c r="D747" s="77"/>
      <c r="E747" s="77"/>
    </row>
    <row r="748" spans="2:5">
      <c r="B748" s="77"/>
      <c r="C748" s="77"/>
      <c r="D748" s="77"/>
      <c r="E748" s="77"/>
    </row>
    <row r="749" spans="2:5">
      <c r="B749" s="77"/>
      <c r="C749" s="77"/>
      <c r="D749" s="77"/>
      <c r="E749" s="77"/>
    </row>
    <row r="750" spans="2:5">
      <c r="B750" s="77"/>
      <c r="C750" s="77"/>
      <c r="D750" s="77"/>
      <c r="E750" s="77"/>
    </row>
    <row r="751" spans="2:5">
      <c r="B751" s="77"/>
      <c r="C751" s="77"/>
      <c r="D751" s="77"/>
      <c r="E751" s="77"/>
    </row>
    <row r="752" spans="2:5">
      <c r="B752" s="77"/>
      <c r="C752" s="77"/>
      <c r="D752" s="77"/>
      <c r="E752" s="77"/>
    </row>
    <row r="753" spans="2:5">
      <c r="B753" s="77"/>
      <c r="C753" s="77"/>
      <c r="D753" s="77"/>
      <c r="E753" s="77"/>
    </row>
    <row r="754" spans="2:5">
      <c r="B754" s="77"/>
      <c r="C754" s="77"/>
      <c r="D754" s="77"/>
      <c r="E754" s="77"/>
    </row>
    <row r="755" spans="2:5">
      <c r="B755" s="77"/>
      <c r="C755" s="77"/>
      <c r="D755" s="77"/>
      <c r="E755" s="77"/>
    </row>
    <row r="756" spans="2:5">
      <c r="B756" s="77"/>
      <c r="C756" s="77"/>
      <c r="D756" s="77"/>
      <c r="E756" s="77"/>
    </row>
    <row r="757" spans="2:5">
      <c r="B757" s="77"/>
      <c r="C757" s="77"/>
      <c r="D757" s="77"/>
      <c r="E757" s="77"/>
    </row>
    <row r="758" spans="2:5">
      <c r="B758" s="77"/>
      <c r="C758" s="77"/>
      <c r="D758" s="77"/>
      <c r="E758" s="77"/>
    </row>
    <row r="759" spans="2:5">
      <c r="B759" s="77"/>
      <c r="C759" s="77"/>
      <c r="D759" s="77"/>
      <c r="E759" s="77"/>
    </row>
    <row r="760" spans="2:5">
      <c r="B760" s="77"/>
      <c r="C760" s="77"/>
      <c r="D760" s="77"/>
      <c r="E760" s="77"/>
    </row>
    <row r="761" spans="2:5">
      <c r="B761" s="77"/>
      <c r="C761" s="77"/>
      <c r="D761" s="77"/>
      <c r="E761" s="77"/>
    </row>
    <row r="762" spans="2:5">
      <c r="B762" s="77"/>
      <c r="C762" s="77"/>
      <c r="D762" s="77"/>
      <c r="E762" s="77"/>
    </row>
    <row r="763" spans="2:5">
      <c r="B763" s="77"/>
      <c r="C763" s="77"/>
      <c r="D763" s="77"/>
      <c r="E763" s="77"/>
    </row>
    <row r="764" spans="2:5">
      <c r="B764" s="77"/>
      <c r="C764" s="77"/>
      <c r="D764" s="77"/>
      <c r="E764" s="77"/>
    </row>
    <row r="765" spans="2:5">
      <c r="B765" s="77"/>
      <c r="C765" s="77"/>
      <c r="D765" s="77"/>
      <c r="E765" s="77"/>
    </row>
    <row r="766" spans="2:5">
      <c r="B766" s="77"/>
      <c r="C766" s="77"/>
      <c r="D766" s="77"/>
      <c r="E766" s="77"/>
    </row>
    <row r="767" spans="2:5">
      <c r="B767" s="77"/>
      <c r="C767" s="77"/>
      <c r="D767" s="77"/>
      <c r="E767" s="77"/>
    </row>
    <row r="768" spans="2:5">
      <c r="B768" s="77"/>
      <c r="C768" s="77"/>
      <c r="D768" s="77"/>
      <c r="E768" s="77"/>
    </row>
    <row r="769" spans="2:5">
      <c r="B769" s="77"/>
      <c r="C769" s="77"/>
      <c r="D769" s="77"/>
      <c r="E769" s="77"/>
    </row>
    <row r="770" spans="2:5">
      <c r="B770" s="77"/>
      <c r="C770" s="77"/>
      <c r="D770" s="77"/>
      <c r="E770" s="77"/>
    </row>
    <row r="771" spans="2:5">
      <c r="B771" s="77"/>
      <c r="C771" s="77"/>
      <c r="D771" s="77"/>
      <c r="E771" s="77"/>
    </row>
    <row r="772" spans="2:5">
      <c r="B772" s="77"/>
      <c r="C772" s="77"/>
      <c r="D772" s="77"/>
      <c r="E772" s="77"/>
    </row>
    <row r="773" spans="2:5">
      <c r="B773" s="77"/>
      <c r="C773" s="77"/>
      <c r="D773" s="77"/>
      <c r="E773" s="77"/>
    </row>
    <row r="774" spans="2:5">
      <c r="B774" s="77"/>
      <c r="C774" s="77"/>
      <c r="D774" s="77"/>
      <c r="E774" s="77"/>
    </row>
    <row r="775" spans="2:5">
      <c r="B775" s="77"/>
      <c r="C775" s="77"/>
      <c r="D775" s="77"/>
      <c r="E775" s="77"/>
    </row>
    <row r="776" spans="2:5">
      <c r="B776" s="77"/>
      <c r="C776" s="77"/>
      <c r="D776" s="77"/>
      <c r="E776" s="77"/>
    </row>
    <row r="777" spans="2:5">
      <c r="B777" s="77"/>
      <c r="C777" s="77"/>
      <c r="D777" s="77"/>
      <c r="E777" s="77"/>
    </row>
    <row r="778" spans="2:5">
      <c r="B778" s="77"/>
      <c r="C778" s="77"/>
      <c r="D778" s="77"/>
      <c r="E778" s="77"/>
    </row>
    <row r="779" spans="2:5">
      <c r="B779" s="77"/>
      <c r="C779" s="77"/>
      <c r="D779" s="77"/>
      <c r="E779" s="77"/>
    </row>
    <row r="780" spans="2:5">
      <c r="B780" s="77"/>
      <c r="C780" s="77"/>
      <c r="D780" s="77"/>
      <c r="E780" s="77"/>
    </row>
    <row r="781" spans="2:5">
      <c r="B781" s="77"/>
      <c r="C781" s="77"/>
      <c r="D781" s="77"/>
      <c r="E781" s="77"/>
    </row>
    <row r="782" spans="2:5">
      <c r="B782" s="77"/>
      <c r="C782" s="77"/>
      <c r="D782" s="77"/>
      <c r="E782" s="77"/>
    </row>
    <row r="783" spans="2:5">
      <c r="B783" s="77"/>
      <c r="C783" s="77"/>
      <c r="D783" s="77"/>
      <c r="E783" s="77"/>
    </row>
    <row r="784" spans="2:5">
      <c r="B784" s="77"/>
      <c r="C784" s="77"/>
      <c r="D784" s="77"/>
      <c r="E784" s="77"/>
    </row>
    <row r="785" spans="2:5">
      <c r="B785" s="77"/>
      <c r="C785" s="77"/>
      <c r="D785" s="77"/>
      <c r="E785" s="77"/>
    </row>
    <row r="786" spans="2:5">
      <c r="B786" s="77"/>
      <c r="C786" s="77"/>
      <c r="D786" s="77"/>
      <c r="E786" s="77"/>
    </row>
    <row r="787" spans="2:5">
      <c r="B787" s="77"/>
      <c r="C787" s="77"/>
      <c r="D787" s="77"/>
      <c r="E787" s="77"/>
    </row>
    <row r="788" spans="2:5">
      <c r="B788" s="77"/>
      <c r="C788" s="77"/>
      <c r="D788" s="77"/>
      <c r="E788" s="77"/>
    </row>
    <row r="789" spans="2:5">
      <c r="B789" s="77"/>
      <c r="C789" s="77"/>
      <c r="D789" s="77"/>
      <c r="E789" s="77"/>
    </row>
    <row r="790" spans="2:5">
      <c r="B790" s="77"/>
      <c r="C790" s="77"/>
      <c r="D790" s="77"/>
      <c r="E790" s="77"/>
    </row>
    <row r="791" spans="2:5">
      <c r="B791" s="77"/>
      <c r="C791" s="77"/>
      <c r="D791" s="77"/>
      <c r="E791" s="77"/>
    </row>
    <row r="792" spans="2:5">
      <c r="B792" s="77"/>
      <c r="C792" s="77"/>
      <c r="D792" s="77"/>
      <c r="E792" s="77"/>
    </row>
    <row r="793" spans="2:5">
      <c r="B793" s="77"/>
      <c r="C793" s="77"/>
      <c r="D793" s="77"/>
      <c r="E793" s="77"/>
    </row>
    <row r="794" spans="2:5">
      <c r="B794" s="77"/>
      <c r="C794" s="77"/>
      <c r="D794" s="77"/>
      <c r="E794" s="77"/>
    </row>
    <row r="795" spans="2:5">
      <c r="B795" s="77"/>
      <c r="C795" s="77"/>
      <c r="D795" s="77"/>
      <c r="E795" s="77"/>
    </row>
    <row r="796" spans="2:5">
      <c r="B796" s="77"/>
      <c r="C796" s="77"/>
      <c r="D796" s="77"/>
      <c r="E796" s="77"/>
    </row>
    <row r="797" spans="2:5">
      <c r="B797" s="77"/>
      <c r="C797" s="77"/>
      <c r="D797" s="77"/>
      <c r="E797" s="77"/>
    </row>
    <row r="798" spans="2:5">
      <c r="B798" s="77"/>
      <c r="C798" s="77"/>
      <c r="D798" s="77"/>
      <c r="E798" s="77"/>
    </row>
    <row r="799" spans="2:5">
      <c r="B799" s="77"/>
      <c r="C799" s="77"/>
      <c r="D799" s="77"/>
      <c r="E799" s="77"/>
    </row>
    <row r="800" spans="2:5">
      <c r="B800" s="77"/>
      <c r="C800" s="77"/>
      <c r="D800" s="77"/>
      <c r="E800" s="77"/>
    </row>
    <row r="801" spans="2:5">
      <c r="B801" s="77"/>
      <c r="C801" s="77"/>
      <c r="D801" s="77"/>
      <c r="E801" s="77"/>
    </row>
    <row r="802" spans="2:5">
      <c r="B802" s="77"/>
      <c r="C802" s="77"/>
      <c r="D802" s="77"/>
      <c r="E802" s="77"/>
    </row>
    <row r="803" spans="2:5">
      <c r="B803" s="77"/>
      <c r="C803" s="77"/>
      <c r="D803" s="77"/>
      <c r="E803" s="77"/>
    </row>
    <row r="804" spans="2:5">
      <c r="B804" s="77"/>
      <c r="C804" s="77"/>
      <c r="D804" s="77"/>
      <c r="E804" s="77"/>
    </row>
    <row r="805" spans="2:5">
      <c r="B805" s="77"/>
      <c r="C805" s="77"/>
      <c r="D805" s="77"/>
      <c r="E805" s="77"/>
    </row>
    <row r="806" spans="2:5">
      <c r="B806" s="77"/>
      <c r="C806" s="77"/>
      <c r="D806" s="77"/>
      <c r="E806" s="77"/>
    </row>
    <row r="807" spans="2:5">
      <c r="B807" s="77"/>
      <c r="C807" s="77"/>
      <c r="D807" s="77"/>
      <c r="E807" s="77"/>
    </row>
    <row r="808" spans="2:5">
      <c r="B808" s="77"/>
      <c r="C808" s="77"/>
      <c r="D808" s="77"/>
      <c r="E808" s="77"/>
    </row>
    <row r="809" spans="2:5">
      <c r="B809" s="77"/>
      <c r="C809" s="77"/>
      <c r="D809" s="77"/>
      <c r="E809" s="77"/>
    </row>
    <row r="810" spans="2:5">
      <c r="B810" s="77"/>
      <c r="C810" s="77"/>
      <c r="D810" s="77"/>
      <c r="E810" s="77"/>
    </row>
    <row r="811" spans="2:5">
      <c r="B811" s="77"/>
      <c r="C811" s="77"/>
      <c r="D811" s="77"/>
      <c r="E811" s="77"/>
    </row>
    <row r="812" spans="2:5">
      <c r="B812" s="77"/>
      <c r="C812" s="77"/>
      <c r="D812" s="77"/>
      <c r="E812" s="77"/>
    </row>
    <row r="813" spans="2:5">
      <c r="B813" s="77"/>
      <c r="C813" s="77"/>
      <c r="D813" s="77"/>
      <c r="E813" s="77"/>
    </row>
    <row r="814" spans="2:5">
      <c r="B814" s="77"/>
      <c r="C814" s="77"/>
      <c r="D814" s="77"/>
      <c r="E814" s="77"/>
    </row>
    <row r="815" spans="2:5">
      <c r="B815" s="77"/>
      <c r="C815" s="77"/>
      <c r="D815" s="77"/>
      <c r="E815" s="77"/>
    </row>
    <row r="816" spans="2:5">
      <c r="B816" s="77"/>
      <c r="C816" s="77"/>
      <c r="D816" s="77"/>
      <c r="E816" s="77"/>
    </row>
    <row r="817" spans="2:5">
      <c r="B817" s="77"/>
      <c r="C817" s="77"/>
      <c r="D817" s="77"/>
      <c r="E817" s="77"/>
    </row>
    <row r="818" spans="2:5">
      <c r="B818" s="77"/>
      <c r="C818" s="77"/>
      <c r="D818" s="77"/>
      <c r="E818" s="77"/>
    </row>
    <row r="819" spans="2:5">
      <c r="B819" s="77"/>
      <c r="C819" s="77"/>
      <c r="D819" s="77"/>
      <c r="E819" s="77"/>
    </row>
    <row r="820" spans="2:5">
      <c r="B820" s="77"/>
      <c r="C820" s="77"/>
      <c r="D820" s="77"/>
      <c r="E820" s="77"/>
    </row>
    <row r="821" spans="2:5">
      <c r="B821" s="77"/>
      <c r="C821" s="77"/>
      <c r="D821" s="77"/>
      <c r="E821" s="77"/>
    </row>
    <row r="822" spans="2:5">
      <c r="B822" s="77"/>
      <c r="C822" s="77"/>
      <c r="D822" s="77"/>
      <c r="E822" s="77"/>
    </row>
    <row r="823" spans="2:5">
      <c r="B823" s="77"/>
      <c r="C823" s="77"/>
      <c r="D823" s="77"/>
      <c r="E823" s="77"/>
    </row>
    <row r="824" spans="2:5">
      <c r="B824" s="77"/>
      <c r="C824" s="77"/>
      <c r="D824" s="77"/>
      <c r="E824" s="77"/>
    </row>
    <row r="825" spans="2:5">
      <c r="B825" s="77"/>
      <c r="C825" s="77"/>
      <c r="D825" s="77"/>
      <c r="E825" s="77"/>
    </row>
    <row r="826" spans="2:5">
      <c r="B826" s="77"/>
      <c r="C826" s="77"/>
      <c r="D826" s="77"/>
      <c r="E826" s="77"/>
    </row>
    <row r="827" spans="2:5">
      <c r="B827" s="77"/>
      <c r="C827" s="77"/>
      <c r="D827" s="77"/>
      <c r="E827" s="77"/>
    </row>
    <row r="828" spans="2:5">
      <c r="B828" s="77"/>
      <c r="C828" s="77"/>
      <c r="D828" s="77"/>
      <c r="E828" s="77"/>
    </row>
    <row r="829" spans="2:5">
      <c r="B829" s="77"/>
      <c r="C829" s="77"/>
      <c r="D829" s="77"/>
      <c r="E829" s="77"/>
    </row>
    <row r="830" spans="2:5">
      <c r="B830" s="77"/>
      <c r="C830" s="77"/>
      <c r="D830" s="77"/>
      <c r="E830" s="77"/>
    </row>
    <row r="831" spans="2:5">
      <c r="B831" s="77"/>
      <c r="C831" s="77"/>
      <c r="D831" s="77"/>
      <c r="E831" s="77"/>
    </row>
    <row r="832" spans="2:5">
      <c r="B832" s="77"/>
      <c r="C832" s="77"/>
      <c r="D832" s="77"/>
      <c r="E832" s="77"/>
    </row>
    <row r="833" spans="2:5">
      <c r="B833" s="77"/>
      <c r="C833" s="77"/>
      <c r="D833" s="77"/>
      <c r="E833" s="77"/>
    </row>
    <row r="834" spans="2:5">
      <c r="B834" s="77"/>
      <c r="C834" s="77"/>
      <c r="D834" s="77"/>
      <c r="E834" s="77"/>
    </row>
    <row r="835" spans="2:5">
      <c r="B835" s="77"/>
      <c r="C835" s="77"/>
      <c r="D835" s="77"/>
      <c r="E835" s="77"/>
    </row>
    <row r="836" spans="2:5">
      <c r="B836" s="77"/>
      <c r="C836" s="77"/>
      <c r="D836" s="77"/>
      <c r="E836" s="77"/>
    </row>
    <row r="837" spans="2:5">
      <c r="B837" s="77"/>
      <c r="C837" s="77"/>
      <c r="D837" s="77"/>
      <c r="E837" s="77"/>
    </row>
    <row r="838" spans="2:5">
      <c r="B838" s="77"/>
      <c r="C838" s="77"/>
      <c r="D838" s="77"/>
      <c r="E838" s="77"/>
    </row>
    <row r="839" spans="2:5">
      <c r="B839" s="77"/>
      <c r="C839" s="77"/>
      <c r="D839" s="77"/>
      <c r="E839" s="77"/>
    </row>
    <row r="840" spans="2:5">
      <c r="B840" s="77"/>
      <c r="C840" s="77"/>
      <c r="D840" s="77"/>
      <c r="E840" s="77"/>
    </row>
    <row r="841" spans="2:5">
      <c r="B841" s="77"/>
      <c r="C841" s="77"/>
      <c r="D841" s="77"/>
      <c r="E841" s="77"/>
    </row>
    <row r="842" spans="2:5">
      <c r="B842" s="77"/>
      <c r="C842" s="77"/>
      <c r="D842" s="77"/>
      <c r="E842" s="77"/>
    </row>
    <row r="843" spans="2:5">
      <c r="B843" s="77"/>
      <c r="C843" s="77"/>
      <c r="D843" s="77"/>
      <c r="E843" s="77"/>
    </row>
    <row r="844" spans="2:5">
      <c r="B844" s="77"/>
      <c r="C844" s="77"/>
      <c r="D844" s="77"/>
      <c r="E844" s="77"/>
    </row>
    <row r="845" spans="2:5">
      <c r="B845" s="77"/>
      <c r="C845" s="77"/>
      <c r="D845" s="77"/>
      <c r="E845" s="77"/>
    </row>
    <row r="846" spans="2:5">
      <c r="B846" s="77"/>
      <c r="C846" s="77"/>
      <c r="D846" s="77"/>
      <c r="E846" s="77"/>
    </row>
    <row r="847" spans="2:5">
      <c r="B847" s="77"/>
      <c r="C847" s="77"/>
      <c r="D847" s="77"/>
      <c r="E847" s="77"/>
    </row>
    <row r="848" spans="2:5">
      <c r="B848" s="77"/>
      <c r="C848" s="77"/>
      <c r="D848" s="77"/>
      <c r="E848" s="77"/>
    </row>
    <row r="849" spans="2:5">
      <c r="B849" s="77"/>
      <c r="C849" s="77"/>
      <c r="D849" s="77"/>
      <c r="E849" s="77"/>
    </row>
    <row r="850" spans="2:5">
      <c r="B850" s="77"/>
      <c r="C850" s="77"/>
      <c r="D850" s="77"/>
      <c r="E850" s="77"/>
    </row>
    <row r="851" spans="2:5">
      <c r="B851" s="77"/>
      <c r="C851" s="77"/>
      <c r="D851" s="77"/>
      <c r="E851" s="77"/>
    </row>
    <row r="852" spans="2:5">
      <c r="B852" s="77"/>
      <c r="C852" s="77"/>
      <c r="D852" s="77"/>
      <c r="E852" s="77"/>
    </row>
    <row r="853" spans="2:5">
      <c r="B853" s="77"/>
      <c r="C853" s="77"/>
      <c r="D853" s="77"/>
      <c r="E853" s="77"/>
    </row>
    <row r="854" spans="2:5">
      <c r="B854" s="77"/>
      <c r="C854" s="77"/>
      <c r="D854" s="77"/>
      <c r="E854" s="77"/>
    </row>
    <row r="855" spans="2:5">
      <c r="B855" s="77"/>
      <c r="C855" s="77"/>
      <c r="D855" s="77"/>
      <c r="E855" s="77"/>
    </row>
    <row r="856" spans="2:5">
      <c r="B856" s="77"/>
      <c r="C856" s="77"/>
      <c r="D856" s="77"/>
      <c r="E856" s="77"/>
    </row>
    <row r="857" spans="2:5">
      <c r="B857" s="77"/>
      <c r="C857" s="77"/>
      <c r="D857" s="77"/>
      <c r="E857" s="77"/>
    </row>
    <row r="858" spans="2:5">
      <c r="B858" s="77"/>
      <c r="C858" s="77"/>
      <c r="D858" s="77"/>
      <c r="E858" s="77"/>
    </row>
    <row r="859" spans="2:5">
      <c r="B859" s="77"/>
      <c r="C859" s="77"/>
      <c r="D859" s="77"/>
      <c r="E859" s="77"/>
    </row>
    <row r="860" spans="2:5">
      <c r="B860" s="77"/>
      <c r="C860" s="77"/>
      <c r="D860" s="77"/>
      <c r="E860" s="77"/>
    </row>
    <row r="861" spans="2:5">
      <c r="B861" s="77"/>
      <c r="C861" s="77"/>
      <c r="D861" s="77"/>
      <c r="E861" s="77"/>
    </row>
    <row r="862" spans="2:5">
      <c r="B862" s="77"/>
      <c r="C862" s="77"/>
      <c r="D862" s="77"/>
      <c r="E862" s="77"/>
    </row>
    <row r="863" spans="2:5">
      <c r="B863" s="77"/>
      <c r="C863" s="77"/>
      <c r="D863" s="77"/>
      <c r="E863" s="77"/>
    </row>
    <row r="864" spans="2:5">
      <c r="B864" s="77"/>
      <c r="C864" s="77"/>
      <c r="D864" s="77"/>
      <c r="E864" s="77"/>
    </row>
    <row r="865" spans="2:5">
      <c r="B865" s="77"/>
      <c r="C865" s="77"/>
      <c r="D865" s="77"/>
      <c r="E865" s="77"/>
    </row>
    <row r="866" spans="2:5">
      <c r="B866" s="77"/>
      <c r="C866" s="77"/>
      <c r="D866" s="77"/>
      <c r="E866" s="77"/>
    </row>
    <row r="867" spans="2:5">
      <c r="B867" s="77"/>
      <c r="C867" s="77"/>
      <c r="D867" s="77"/>
      <c r="E867" s="77"/>
    </row>
    <row r="868" spans="2:5">
      <c r="B868" s="77"/>
      <c r="C868" s="77"/>
      <c r="D868" s="77"/>
      <c r="E868" s="77"/>
    </row>
    <row r="869" spans="2:5">
      <c r="B869" s="77"/>
      <c r="C869" s="77"/>
      <c r="D869" s="77"/>
      <c r="E869" s="77"/>
    </row>
    <row r="870" spans="2:5">
      <c r="B870" s="77"/>
      <c r="C870" s="77"/>
      <c r="D870" s="77"/>
      <c r="E870" s="77"/>
    </row>
    <row r="871" spans="2:5">
      <c r="B871" s="77"/>
      <c r="C871" s="77"/>
      <c r="D871" s="77"/>
      <c r="E871" s="77"/>
    </row>
    <row r="872" spans="2:5">
      <c r="B872" s="77"/>
      <c r="C872" s="77"/>
      <c r="D872" s="77"/>
      <c r="E872" s="77"/>
    </row>
    <row r="873" spans="2:5">
      <c r="B873" s="77"/>
      <c r="C873" s="77"/>
      <c r="D873" s="77"/>
      <c r="E873" s="77"/>
    </row>
    <row r="874" spans="2:5">
      <c r="B874" s="77"/>
      <c r="C874" s="77"/>
      <c r="D874" s="77"/>
      <c r="E874" s="77"/>
    </row>
    <row r="875" spans="2:5">
      <c r="B875" s="77"/>
      <c r="C875" s="77"/>
      <c r="D875" s="77"/>
      <c r="E875" s="77"/>
    </row>
    <row r="876" spans="2:5">
      <c r="B876" s="77"/>
      <c r="C876" s="77"/>
      <c r="D876" s="77"/>
      <c r="E876" s="77"/>
    </row>
    <row r="877" spans="2:5">
      <c r="B877" s="77"/>
      <c r="C877" s="77"/>
      <c r="D877" s="77"/>
      <c r="E877" s="77"/>
    </row>
    <row r="878" spans="2:5">
      <c r="B878" s="77"/>
      <c r="C878" s="77"/>
      <c r="D878" s="77"/>
      <c r="E878" s="77"/>
    </row>
    <row r="879" spans="2:5">
      <c r="B879" s="77"/>
      <c r="C879" s="77"/>
      <c r="D879" s="77"/>
      <c r="E879" s="77"/>
    </row>
    <row r="880" spans="2:5">
      <c r="B880" s="77"/>
      <c r="C880" s="77"/>
      <c r="D880" s="77"/>
      <c r="E880" s="77"/>
    </row>
    <row r="881" spans="2:5">
      <c r="B881" s="77"/>
      <c r="C881" s="77"/>
      <c r="D881" s="77"/>
      <c r="E881" s="77"/>
    </row>
    <row r="882" spans="2:5">
      <c r="B882" s="77"/>
      <c r="C882" s="77"/>
      <c r="D882" s="77"/>
      <c r="E882" s="77"/>
    </row>
    <row r="883" spans="2:5">
      <c r="B883" s="77"/>
      <c r="C883" s="77"/>
      <c r="D883" s="77"/>
      <c r="E883" s="77"/>
    </row>
    <row r="884" spans="2:5">
      <c r="B884" s="77"/>
      <c r="C884" s="77"/>
      <c r="D884" s="77"/>
      <c r="E884" s="77"/>
    </row>
    <row r="885" spans="2:5">
      <c r="B885" s="77"/>
      <c r="C885" s="77"/>
      <c r="D885" s="77"/>
      <c r="E885" s="77"/>
    </row>
    <row r="886" spans="2:5">
      <c r="B886" s="77"/>
      <c r="C886" s="77"/>
      <c r="D886" s="77"/>
      <c r="E886" s="77"/>
    </row>
    <row r="887" spans="2:5">
      <c r="B887" s="77"/>
      <c r="C887" s="77"/>
      <c r="D887" s="77"/>
      <c r="E887" s="77"/>
    </row>
    <row r="888" spans="2:5">
      <c r="B888" s="77"/>
      <c r="C888" s="77"/>
      <c r="D888" s="77"/>
      <c r="E888" s="77"/>
    </row>
    <row r="889" spans="2:5">
      <c r="B889" s="77"/>
      <c r="C889" s="77"/>
      <c r="D889" s="77"/>
      <c r="E889" s="77"/>
    </row>
    <row r="890" spans="2:5">
      <c r="B890" s="77"/>
      <c r="C890" s="77"/>
      <c r="D890" s="77"/>
      <c r="E890" s="77"/>
    </row>
    <row r="891" spans="2:5">
      <c r="B891" s="77"/>
      <c r="C891" s="77"/>
      <c r="D891" s="77"/>
      <c r="E891" s="77"/>
    </row>
    <row r="892" spans="2:5">
      <c r="B892" s="77"/>
      <c r="C892" s="77"/>
      <c r="D892" s="77"/>
      <c r="E892" s="77"/>
    </row>
    <row r="893" spans="2:5">
      <c r="B893" s="77"/>
      <c r="C893" s="77"/>
      <c r="D893" s="77"/>
      <c r="E893" s="77"/>
    </row>
    <row r="894" spans="2:5">
      <c r="B894" s="77"/>
      <c r="C894" s="77"/>
      <c r="D894" s="77"/>
      <c r="E894" s="77"/>
    </row>
    <row r="895" spans="2:5">
      <c r="B895" s="77"/>
      <c r="C895" s="77"/>
      <c r="D895" s="77"/>
      <c r="E895" s="77"/>
    </row>
    <row r="896" spans="2:5">
      <c r="B896" s="77"/>
      <c r="C896" s="77"/>
      <c r="D896" s="77"/>
      <c r="E896" s="77"/>
    </row>
    <row r="897" spans="2:5">
      <c r="B897" s="77"/>
      <c r="C897" s="77"/>
      <c r="D897" s="77"/>
      <c r="E897" s="77"/>
    </row>
    <row r="898" spans="2:5">
      <c r="B898" s="77"/>
      <c r="C898" s="77"/>
      <c r="D898" s="77"/>
      <c r="E898" s="77"/>
    </row>
    <row r="899" spans="2:5">
      <c r="B899" s="77"/>
      <c r="C899" s="77"/>
      <c r="D899" s="77"/>
      <c r="E899" s="77"/>
    </row>
    <row r="900" spans="2:5">
      <c r="B900" s="77"/>
      <c r="C900" s="77"/>
      <c r="D900" s="77"/>
      <c r="E900" s="77"/>
    </row>
    <row r="901" spans="2:5">
      <c r="B901" s="77"/>
      <c r="C901" s="77"/>
      <c r="D901" s="77"/>
      <c r="E901" s="77"/>
    </row>
    <row r="902" spans="2:5">
      <c r="B902" s="77"/>
      <c r="C902" s="77"/>
      <c r="D902" s="77"/>
      <c r="E902" s="77"/>
    </row>
    <row r="903" spans="2:5">
      <c r="B903" s="77"/>
      <c r="C903" s="77"/>
      <c r="D903" s="77"/>
      <c r="E903" s="77"/>
    </row>
    <row r="904" spans="2:5">
      <c r="B904" s="77"/>
      <c r="C904" s="77"/>
      <c r="D904" s="77"/>
      <c r="E904" s="77"/>
    </row>
    <row r="905" spans="2:5">
      <c r="B905" s="77"/>
      <c r="C905" s="77"/>
      <c r="D905" s="77"/>
      <c r="E905" s="77"/>
    </row>
    <row r="906" spans="2:5">
      <c r="B906" s="77"/>
      <c r="C906" s="77"/>
      <c r="D906" s="77"/>
      <c r="E906" s="77"/>
    </row>
    <row r="907" spans="2:5">
      <c r="B907" s="77"/>
      <c r="C907" s="77"/>
      <c r="D907" s="77"/>
      <c r="E907" s="77"/>
    </row>
    <row r="908" spans="2:5">
      <c r="B908" s="77"/>
      <c r="C908" s="77"/>
      <c r="D908" s="77"/>
      <c r="E908" s="77"/>
    </row>
    <row r="909" spans="2:5">
      <c r="B909" s="77"/>
      <c r="C909" s="77"/>
      <c r="D909" s="77"/>
      <c r="E909" s="77"/>
    </row>
    <row r="910" spans="2:5">
      <c r="B910" s="77"/>
      <c r="C910" s="77"/>
      <c r="D910" s="77"/>
      <c r="E910" s="77"/>
    </row>
    <row r="911" spans="2:5">
      <c r="B911" s="77"/>
      <c r="C911" s="77"/>
      <c r="D911" s="77"/>
      <c r="E911" s="77"/>
    </row>
    <row r="912" spans="2:5">
      <c r="B912" s="77"/>
      <c r="C912" s="77"/>
      <c r="D912" s="77"/>
      <c r="E912" s="77"/>
    </row>
    <row r="913" spans="2:5">
      <c r="B913" s="77"/>
      <c r="C913" s="77"/>
      <c r="D913" s="77"/>
      <c r="E913" s="77"/>
    </row>
    <row r="914" spans="2:5">
      <c r="B914" s="77"/>
      <c r="C914" s="77"/>
      <c r="D914" s="77"/>
      <c r="E914" s="77"/>
    </row>
    <row r="915" spans="2:5">
      <c r="B915" s="77"/>
      <c r="C915" s="77"/>
      <c r="D915" s="77"/>
      <c r="E915" s="77"/>
    </row>
    <row r="916" spans="2:5">
      <c r="B916" s="77"/>
      <c r="C916" s="77"/>
      <c r="D916" s="77"/>
      <c r="E916" s="77"/>
    </row>
    <row r="917" spans="2:5">
      <c r="B917" s="77"/>
      <c r="C917" s="77"/>
      <c r="D917" s="77"/>
      <c r="E917" s="77"/>
    </row>
    <row r="918" spans="2:5">
      <c r="B918" s="77"/>
      <c r="C918" s="77"/>
      <c r="D918" s="77"/>
      <c r="E918" s="77"/>
    </row>
    <row r="919" spans="2:5">
      <c r="B919" s="77"/>
      <c r="C919" s="77"/>
      <c r="D919" s="77"/>
      <c r="E919" s="77"/>
    </row>
    <row r="920" spans="2:5">
      <c r="B920" s="77"/>
      <c r="C920" s="77"/>
      <c r="D920" s="77"/>
      <c r="E920" s="77"/>
    </row>
    <row r="921" spans="2:5">
      <c r="B921" s="77"/>
      <c r="C921" s="77"/>
      <c r="D921" s="77"/>
      <c r="E921" s="77"/>
    </row>
    <row r="922" spans="2:5">
      <c r="B922" s="77"/>
      <c r="C922" s="77"/>
      <c r="D922" s="77"/>
      <c r="E922" s="77"/>
    </row>
    <row r="923" spans="2:5">
      <c r="B923" s="77"/>
      <c r="C923" s="77"/>
      <c r="D923" s="77"/>
      <c r="E923" s="77"/>
    </row>
    <row r="924" spans="2:5">
      <c r="B924" s="77"/>
      <c r="C924" s="77"/>
      <c r="D924" s="77"/>
      <c r="E924" s="77"/>
    </row>
    <row r="925" spans="2:5">
      <c r="B925" s="77"/>
      <c r="C925" s="77"/>
      <c r="D925" s="77"/>
      <c r="E925" s="77"/>
    </row>
    <row r="926" spans="2:5">
      <c r="B926" s="77"/>
      <c r="C926" s="77"/>
      <c r="D926" s="77"/>
      <c r="E926" s="77"/>
    </row>
    <row r="927" spans="2:5">
      <c r="B927" s="77"/>
      <c r="C927" s="77"/>
      <c r="D927" s="77"/>
      <c r="E927" s="77"/>
    </row>
    <row r="928" spans="2:5">
      <c r="B928" s="77"/>
      <c r="C928" s="77"/>
      <c r="D928" s="77"/>
      <c r="E928" s="77"/>
    </row>
    <row r="929" spans="2:5">
      <c r="B929" s="77"/>
      <c r="C929" s="77"/>
      <c r="D929" s="77"/>
      <c r="E929" s="77"/>
    </row>
    <row r="930" spans="2:5">
      <c r="B930" s="77"/>
      <c r="C930" s="77"/>
      <c r="D930" s="77"/>
      <c r="E930" s="77"/>
    </row>
    <row r="931" spans="2:5">
      <c r="B931" s="77"/>
      <c r="C931" s="77"/>
      <c r="D931" s="77"/>
      <c r="E931" s="77"/>
    </row>
    <row r="932" spans="2:5">
      <c r="B932" s="77"/>
      <c r="C932" s="77"/>
      <c r="D932" s="77"/>
      <c r="E932" s="77"/>
    </row>
    <row r="933" spans="2:5">
      <c r="B933" s="77"/>
      <c r="C933" s="77"/>
      <c r="D933" s="77"/>
      <c r="E933" s="77"/>
    </row>
    <row r="934" spans="2:5">
      <c r="B934" s="77"/>
      <c r="C934" s="77"/>
      <c r="D934" s="77"/>
      <c r="E934" s="77"/>
    </row>
    <row r="935" spans="2:5">
      <c r="B935" s="77"/>
      <c r="C935" s="77"/>
      <c r="D935" s="77"/>
      <c r="E935" s="77"/>
    </row>
    <row r="936" spans="2:5">
      <c r="B936" s="77"/>
      <c r="C936" s="77"/>
      <c r="D936" s="77"/>
      <c r="E936" s="77"/>
    </row>
    <row r="937" spans="2:5">
      <c r="B937" s="77"/>
      <c r="C937" s="77"/>
      <c r="D937" s="77"/>
      <c r="E937" s="77"/>
    </row>
    <row r="938" spans="2:5">
      <c r="B938" s="77"/>
      <c r="C938" s="77"/>
      <c r="D938" s="77"/>
      <c r="E938" s="77"/>
    </row>
    <row r="939" spans="2:5">
      <c r="B939" s="77"/>
      <c r="C939" s="77"/>
      <c r="D939" s="77"/>
      <c r="E939" s="77"/>
    </row>
    <row r="940" spans="2:5">
      <c r="B940" s="77"/>
      <c r="C940" s="77"/>
      <c r="D940" s="77"/>
      <c r="E940" s="77"/>
    </row>
    <row r="941" spans="2:5">
      <c r="B941" s="77"/>
      <c r="C941" s="77"/>
      <c r="D941" s="77"/>
      <c r="E941" s="77"/>
    </row>
    <row r="942" spans="2:5">
      <c r="B942" s="77"/>
      <c r="C942" s="77"/>
      <c r="D942" s="77"/>
      <c r="E942" s="77"/>
    </row>
    <row r="943" spans="2:5">
      <c r="B943" s="77"/>
      <c r="C943" s="77"/>
      <c r="D943" s="77"/>
      <c r="E943" s="77"/>
    </row>
    <row r="944" spans="2:5">
      <c r="B944" s="77"/>
      <c r="C944" s="77"/>
      <c r="D944" s="77"/>
      <c r="E944" s="77"/>
    </row>
    <row r="945" spans="2:5">
      <c r="B945" s="77"/>
      <c r="C945" s="77"/>
      <c r="D945" s="77"/>
      <c r="E945" s="77"/>
    </row>
    <row r="946" spans="2:5">
      <c r="B946" s="77"/>
      <c r="C946" s="77"/>
      <c r="D946" s="77"/>
      <c r="E946" s="77"/>
    </row>
    <row r="947" spans="2:5">
      <c r="B947" s="77"/>
      <c r="C947" s="77"/>
      <c r="D947" s="77"/>
      <c r="E947" s="77"/>
    </row>
    <row r="948" spans="2:5">
      <c r="B948" s="77"/>
      <c r="C948" s="77"/>
      <c r="D948" s="77"/>
      <c r="E948" s="77"/>
    </row>
    <row r="949" spans="2:5">
      <c r="B949" s="77"/>
      <c r="C949" s="77"/>
      <c r="D949" s="77"/>
      <c r="E949" s="77"/>
    </row>
    <row r="950" spans="2:5">
      <c r="B950" s="77"/>
      <c r="C950" s="77"/>
      <c r="D950" s="77"/>
      <c r="E950" s="77"/>
    </row>
    <row r="951" spans="2:5">
      <c r="B951" s="77"/>
      <c r="C951" s="77"/>
      <c r="D951" s="77"/>
      <c r="E951" s="77"/>
    </row>
    <row r="952" spans="2:5">
      <c r="B952" s="77"/>
      <c r="C952" s="77"/>
      <c r="D952" s="77"/>
      <c r="E952" s="77"/>
    </row>
    <row r="953" spans="2:5">
      <c r="B953" s="77"/>
      <c r="C953" s="77"/>
      <c r="D953" s="77"/>
      <c r="E953" s="77"/>
    </row>
    <row r="954" spans="2:5">
      <c r="B954" s="77"/>
      <c r="C954" s="77"/>
      <c r="D954" s="77"/>
      <c r="E954" s="77"/>
    </row>
    <row r="955" spans="2:5">
      <c r="B955" s="77"/>
      <c r="C955" s="77"/>
      <c r="D955" s="77"/>
      <c r="E955" s="77"/>
    </row>
    <row r="956" spans="2:5">
      <c r="B956" s="77"/>
      <c r="C956" s="77"/>
      <c r="D956" s="77"/>
      <c r="E956" s="77"/>
    </row>
    <row r="957" spans="2:5">
      <c r="B957" s="77"/>
      <c r="C957" s="77"/>
      <c r="D957" s="77"/>
      <c r="E957" s="77"/>
    </row>
    <row r="958" spans="2:5">
      <c r="B958" s="77"/>
      <c r="C958" s="77"/>
      <c r="D958" s="77"/>
      <c r="E958" s="77"/>
    </row>
    <row r="959" spans="2:5">
      <c r="B959" s="77"/>
      <c r="C959" s="77"/>
      <c r="D959" s="77"/>
      <c r="E959" s="77"/>
    </row>
    <row r="960" spans="2:5">
      <c r="B960" s="77"/>
      <c r="C960" s="77"/>
      <c r="D960" s="77"/>
      <c r="E960" s="77"/>
    </row>
    <row r="961" spans="2:5">
      <c r="B961" s="77"/>
      <c r="C961" s="77"/>
      <c r="D961" s="77"/>
      <c r="E961" s="77"/>
    </row>
    <row r="962" spans="2:5">
      <c r="B962" s="77"/>
      <c r="C962" s="77"/>
      <c r="D962" s="77"/>
      <c r="E962" s="77"/>
    </row>
    <row r="963" spans="2:5">
      <c r="B963" s="77"/>
      <c r="C963" s="77"/>
      <c r="D963" s="77"/>
      <c r="E963" s="77"/>
    </row>
    <row r="964" spans="2:5">
      <c r="B964" s="77"/>
      <c r="C964" s="77"/>
      <c r="D964" s="77"/>
      <c r="E964" s="77"/>
    </row>
    <row r="965" spans="2:5">
      <c r="B965" s="77"/>
      <c r="C965" s="77"/>
      <c r="D965" s="77"/>
      <c r="E965" s="77"/>
    </row>
    <row r="966" spans="2:5">
      <c r="B966" s="77"/>
      <c r="C966" s="77"/>
      <c r="D966" s="77"/>
      <c r="E966" s="77"/>
    </row>
    <row r="967" spans="2:5">
      <c r="B967" s="77"/>
      <c r="C967" s="77"/>
      <c r="D967" s="77"/>
      <c r="E967" s="77"/>
    </row>
    <row r="968" spans="2:5">
      <c r="B968" s="77"/>
      <c r="C968" s="77"/>
      <c r="D968" s="77"/>
      <c r="E968" s="77"/>
    </row>
    <row r="969" spans="2:5">
      <c r="B969" s="77"/>
      <c r="C969" s="77"/>
      <c r="D969" s="77"/>
      <c r="E969" s="77"/>
    </row>
    <row r="970" spans="2:5">
      <c r="B970" s="77"/>
      <c r="C970" s="77"/>
      <c r="D970" s="77"/>
      <c r="E970" s="77"/>
    </row>
    <row r="971" spans="2:5">
      <c r="B971" s="77"/>
      <c r="C971" s="77"/>
      <c r="D971" s="77"/>
      <c r="E971" s="77"/>
    </row>
    <row r="972" spans="2:5">
      <c r="B972" s="77"/>
      <c r="C972" s="77"/>
      <c r="D972" s="77"/>
      <c r="E972" s="77"/>
    </row>
    <row r="973" spans="2:5">
      <c r="B973" s="77"/>
      <c r="C973" s="77"/>
      <c r="D973" s="77"/>
      <c r="E973" s="77"/>
    </row>
    <row r="974" spans="2:5">
      <c r="B974" s="77"/>
      <c r="C974" s="77"/>
      <c r="D974" s="77"/>
      <c r="E974" s="77"/>
    </row>
    <row r="975" spans="2:5">
      <c r="B975" s="77"/>
      <c r="C975" s="77"/>
      <c r="D975" s="77"/>
      <c r="E975" s="77"/>
    </row>
    <row r="976" spans="2:5">
      <c r="B976" s="77"/>
      <c r="C976" s="77"/>
      <c r="D976" s="77"/>
      <c r="E976" s="77"/>
    </row>
    <row r="977" spans="2:5">
      <c r="B977" s="77"/>
      <c r="C977" s="77"/>
      <c r="D977" s="77"/>
      <c r="E977" s="77"/>
    </row>
    <row r="978" spans="2:5">
      <c r="B978" s="77"/>
      <c r="C978" s="77"/>
      <c r="D978" s="77"/>
      <c r="E978" s="77"/>
    </row>
    <row r="979" spans="2:5">
      <c r="B979" s="77"/>
      <c r="C979" s="77"/>
      <c r="D979" s="77"/>
      <c r="E979" s="77"/>
    </row>
    <row r="980" spans="2:5">
      <c r="B980" s="77"/>
      <c r="C980" s="77"/>
      <c r="D980" s="77"/>
      <c r="E980" s="77"/>
    </row>
    <row r="981" spans="2:5">
      <c r="B981" s="77"/>
      <c r="C981" s="77"/>
      <c r="D981" s="77"/>
      <c r="E981" s="77"/>
    </row>
    <row r="982" spans="2:5">
      <c r="B982" s="77"/>
      <c r="C982" s="77"/>
      <c r="D982" s="77"/>
      <c r="E982" s="77"/>
    </row>
    <row r="983" spans="2:5">
      <c r="B983" s="77"/>
      <c r="C983" s="77"/>
      <c r="D983" s="77"/>
      <c r="E983" s="77"/>
    </row>
    <row r="984" spans="2:5">
      <c r="B984" s="77"/>
      <c r="C984" s="77"/>
      <c r="D984" s="77"/>
      <c r="E984" s="77"/>
    </row>
    <row r="985" spans="2:5">
      <c r="B985" s="77"/>
      <c r="C985" s="77"/>
      <c r="D985" s="77"/>
      <c r="E985" s="77"/>
    </row>
    <row r="986" spans="2:5">
      <c r="B986" s="77"/>
      <c r="C986" s="77"/>
      <c r="D986" s="77"/>
      <c r="E986" s="77"/>
    </row>
    <row r="987" spans="2:5">
      <c r="B987" s="77"/>
      <c r="C987" s="77"/>
      <c r="D987" s="77"/>
      <c r="E987" s="77"/>
    </row>
    <row r="988" spans="2:5">
      <c r="B988" s="77"/>
      <c r="C988" s="77"/>
      <c r="D988" s="77"/>
      <c r="E988" s="77"/>
    </row>
    <row r="989" spans="2:5">
      <c r="B989" s="77"/>
      <c r="C989" s="77"/>
      <c r="D989" s="77"/>
      <c r="E989" s="77"/>
    </row>
    <row r="990" spans="2:5">
      <c r="B990" s="77"/>
      <c r="C990" s="77"/>
      <c r="D990" s="77"/>
      <c r="E990" s="77"/>
    </row>
    <row r="991" spans="2:5">
      <c r="B991" s="77"/>
      <c r="C991" s="77"/>
      <c r="D991" s="77"/>
      <c r="E991" s="77"/>
    </row>
    <row r="992" spans="2:5">
      <c r="B992" s="77"/>
      <c r="C992" s="77"/>
      <c r="D992" s="77"/>
      <c r="E992" s="77"/>
    </row>
    <row r="993" spans="2:5">
      <c r="B993" s="77"/>
      <c r="C993" s="77"/>
      <c r="D993" s="77"/>
      <c r="E993" s="77"/>
    </row>
    <row r="994" spans="2:5">
      <c r="B994" s="77"/>
      <c r="C994" s="77"/>
      <c r="D994" s="77"/>
      <c r="E994" s="77"/>
    </row>
    <row r="995" spans="2:5">
      <c r="B995" s="77"/>
      <c r="C995" s="77"/>
      <c r="D995" s="77"/>
      <c r="E995" s="77"/>
    </row>
    <row r="996" spans="2:5">
      <c r="B996" s="77"/>
      <c r="C996" s="77"/>
      <c r="D996" s="77"/>
      <c r="E996" s="77"/>
    </row>
    <row r="997" spans="2:5">
      <c r="B997" s="77"/>
      <c r="C997" s="77"/>
      <c r="D997" s="77"/>
      <c r="E997" s="77"/>
    </row>
    <row r="998" spans="2:5">
      <c r="B998" s="77"/>
      <c r="C998" s="77"/>
      <c r="D998" s="77"/>
      <c r="E998" s="77"/>
    </row>
    <row r="999" spans="2:5">
      <c r="B999" s="77"/>
      <c r="C999" s="77"/>
      <c r="D999" s="77"/>
      <c r="E999" s="77"/>
    </row>
    <row r="1000" spans="2:5">
      <c r="B1000" s="77"/>
      <c r="C1000" s="77"/>
      <c r="D1000" s="77"/>
      <c r="E1000" s="77"/>
    </row>
    <row r="1001" spans="2:5">
      <c r="B1001" s="77"/>
      <c r="C1001" s="77"/>
      <c r="D1001" s="77"/>
      <c r="E1001" s="77"/>
    </row>
    <row r="1002" spans="2:5">
      <c r="B1002" s="77"/>
      <c r="C1002" s="77"/>
      <c r="D1002" s="77"/>
      <c r="E1002" s="77"/>
    </row>
    <row r="1003" spans="2:5">
      <c r="B1003" s="77"/>
      <c r="C1003" s="77"/>
      <c r="D1003" s="77"/>
      <c r="E1003" s="77"/>
    </row>
    <row r="1004" spans="2:5">
      <c r="B1004" s="77"/>
      <c r="C1004" s="77"/>
      <c r="D1004" s="77"/>
      <c r="E1004" s="77"/>
    </row>
    <row r="1005" spans="2:5">
      <c r="B1005" s="77"/>
      <c r="C1005" s="77"/>
      <c r="D1005" s="77"/>
      <c r="E1005" s="77"/>
    </row>
    <row r="1006" spans="2:5">
      <c r="B1006" s="77"/>
      <c r="C1006" s="77"/>
      <c r="D1006" s="77"/>
      <c r="E1006" s="77"/>
    </row>
    <row r="1007" spans="2:5">
      <c r="B1007" s="77"/>
      <c r="C1007" s="77"/>
      <c r="D1007" s="77"/>
      <c r="E1007" s="77"/>
    </row>
    <row r="1008" spans="2:5">
      <c r="B1008" s="77"/>
      <c r="C1008" s="77"/>
      <c r="D1008" s="77"/>
      <c r="E1008" s="77"/>
    </row>
    <row r="1009" spans="2:5">
      <c r="B1009" s="77"/>
      <c r="C1009" s="77"/>
      <c r="D1009" s="77"/>
      <c r="E1009" s="77"/>
    </row>
    <row r="1010" spans="2:5">
      <c r="B1010" s="77"/>
      <c r="C1010" s="77"/>
      <c r="D1010" s="77"/>
      <c r="E1010" s="77"/>
    </row>
    <row r="1011" spans="2:5">
      <c r="B1011" s="77"/>
      <c r="C1011" s="77"/>
      <c r="D1011" s="77"/>
      <c r="E1011" s="7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76"/>
  <sheetViews>
    <sheetView workbookViewId="0"/>
  </sheetViews>
  <sheetFormatPr defaultColWidth="12.6640625" defaultRowHeight="15.75" customHeight="1"/>
  <cols>
    <col min="1" max="1" width="13.21875" customWidth="1"/>
    <col min="3" max="3" width="13.88671875" customWidth="1"/>
    <col min="4" max="4" width="19.6640625" customWidth="1"/>
    <col min="5" max="5" width="13.21875" customWidth="1"/>
    <col min="6" max="6" width="17.109375" customWidth="1"/>
    <col min="7" max="7" width="17.77734375" customWidth="1"/>
    <col min="8" max="8" width="25.109375" customWidth="1"/>
    <col min="9" max="9" width="25.77734375" customWidth="1"/>
  </cols>
  <sheetData>
    <row r="1" spans="1:9" ht="13.2">
      <c r="A1" s="1" t="s">
        <v>622</v>
      </c>
    </row>
    <row r="5" spans="1:9" ht="18" customHeight="1">
      <c r="C5" s="78" t="s">
        <v>146</v>
      </c>
      <c r="D5" s="79" t="s">
        <v>623</v>
      </c>
      <c r="E5" s="80"/>
      <c r="F5" s="81" t="s">
        <v>624</v>
      </c>
      <c r="G5" s="82"/>
      <c r="H5" s="79" t="s">
        <v>149</v>
      </c>
      <c r="I5" s="83" t="s">
        <v>150</v>
      </c>
    </row>
    <row r="6" spans="1:9" ht="13.2">
      <c r="C6" s="84" t="s">
        <v>625</v>
      </c>
      <c r="D6" s="85" t="s">
        <v>17</v>
      </c>
      <c r="E6" s="86">
        <v>1</v>
      </c>
      <c r="F6" s="87" t="s">
        <v>626</v>
      </c>
      <c r="G6" s="88" t="s">
        <v>627</v>
      </c>
      <c r="H6" s="89" t="s">
        <v>628</v>
      </c>
      <c r="I6" s="90" t="e">
        <f t="shared" ref="I6:I10" ca="1" si="0">_xludf.CONCAT(F6,G6)</f>
        <v>#NAME?</v>
      </c>
    </row>
    <row r="7" spans="1:9" ht="13.2">
      <c r="C7" s="91"/>
      <c r="D7" s="91"/>
      <c r="E7" s="92">
        <v>2</v>
      </c>
      <c r="F7" s="1" t="s">
        <v>629</v>
      </c>
      <c r="G7" s="93" t="s">
        <v>630</v>
      </c>
      <c r="H7" s="94" t="s">
        <v>631</v>
      </c>
      <c r="I7" s="95" t="e">
        <f t="shared" ca="1" si="0"/>
        <v>#NAME?</v>
      </c>
    </row>
    <row r="8" spans="1:9" ht="13.2">
      <c r="C8" s="91"/>
      <c r="D8" s="91"/>
      <c r="E8" s="92">
        <v>3</v>
      </c>
      <c r="F8" s="1" t="s">
        <v>632</v>
      </c>
      <c r="G8" s="93" t="s">
        <v>633</v>
      </c>
      <c r="H8" s="94" t="s">
        <v>634</v>
      </c>
      <c r="I8" s="95" t="e">
        <f t="shared" ca="1" si="0"/>
        <v>#NAME?</v>
      </c>
    </row>
    <row r="9" spans="1:9" ht="13.2">
      <c r="C9" s="91"/>
      <c r="D9" s="91"/>
      <c r="E9" s="92">
        <v>4</v>
      </c>
      <c r="F9" s="1" t="s">
        <v>635</v>
      </c>
      <c r="G9" s="93" t="s">
        <v>636</v>
      </c>
      <c r="H9" s="94" t="s">
        <v>637</v>
      </c>
      <c r="I9" s="95" t="e">
        <f t="shared" ca="1" si="0"/>
        <v>#NAME?</v>
      </c>
    </row>
    <row r="10" spans="1:9" ht="13.2">
      <c r="C10" s="91"/>
      <c r="D10" s="91"/>
      <c r="E10" s="92">
        <v>5</v>
      </c>
      <c r="F10" s="1" t="s">
        <v>638</v>
      </c>
      <c r="G10" s="93" t="s">
        <v>639</v>
      </c>
      <c r="H10" s="94" t="s">
        <v>640</v>
      </c>
      <c r="I10" s="95" t="e">
        <f t="shared" ca="1" si="0"/>
        <v>#NAME?</v>
      </c>
    </row>
    <row r="11" spans="1:9" ht="13.2">
      <c r="C11" s="96"/>
      <c r="D11" s="97"/>
      <c r="E11" s="98"/>
      <c r="F11" s="99"/>
      <c r="G11" s="100"/>
      <c r="H11" s="97"/>
      <c r="I11" s="100"/>
    </row>
    <row r="12" spans="1:9" ht="13.2">
      <c r="C12" s="84" t="s">
        <v>641</v>
      </c>
      <c r="D12" s="85" t="s">
        <v>6</v>
      </c>
      <c r="E12" s="86">
        <v>1</v>
      </c>
      <c r="F12" s="87" t="s">
        <v>642</v>
      </c>
      <c r="G12" s="90"/>
      <c r="H12" s="89" t="s">
        <v>643</v>
      </c>
      <c r="I12" s="90" t="str">
        <f t="shared" ref="I12:I16" si="1">CLEAN(F12)</f>
        <v>friendship</v>
      </c>
    </row>
    <row r="13" spans="1:9" ht="13.2">
      <c r="C13" s="91"/>
      <c r="D13" s="91"/>
      <c r="E13" s="92">
        <v>2</v>
      </c>
      <c r="F13" s="1" t="s">
        <v>644</v>
      </c>
      <c r="G13" s="95"/>
      <c r="H13" s="94" t="s">
        <v>645</v>
      </c>
      <c r="I13" s="95" t="str">
        <f t="shared" si="1"/>
        <v>Backbone</v>
      </c>
    </row>
    <row r="14" spans="1:9" ht="13.2">
      <c r="C14" s="91"/>
      <c r="D14" s="91"/>
      <c r="E14" s="92">
        <v>3</v>
      </c>
      <c r="F14" s="1" t="str">
        <f>"user"&amp; CHAR(13)&amp;"43"</f>
        <v>user_x000D_43</v>
      </c>
      <c r="G14" s="95"/>
      <c r="H14" s="94" t="s">
        <v>646</v>
      </c>
      <c r="I14" s="95" t="str">
        <f t="shared" si="1"/>
        <v>user43</v>
      </c>
    </row>
    <row r="15" spans="1:9" ht="13.2">
      <c r="C15" s="91"/>
      <c r="D15" s="91"/>
      <c r="E15" s="92">
        <v>4</v>
      </c>
      <c r="F15" s="1" t="str">
        <f>"day"&amp;CHAR(10)&amp;"time"</f>
        <v>day
time</v>
      </c>
      <c r="G15" s="95"/>
      <c r="H15" s="94" t="s">
        <v>647</v>
      </c>
      <c r="I15" s="95" t="str">
        <f t="shared" si="1"/>
        <v>daytime</v>
      </c>
    </row>
    <row r="16" spans="1:9" ht="13.2">
      <c r="C16" s="91"/>
      <c r="D16" s="91"/>
      <c r="E16" s="92">
        <v>5</v>
      </c>
      <c r="F16" s="1" t="s">
        <v>648</v>
      </c>
      <c r="G16" s="95"/>
      <c r="H16" s="94" t="s">
        <v>649</v>
      </c>
      <c r="I16" s="95" t="str">
        <f t="shared" si="1"/>
        <v>garden</v>
      </c>
    </row>
    <row r="17" spans="3:9" ht="13.2">
      <c r="C17" s="97"/>
      <c r="D17" s="97"/>
      <c r="E17" s="98"/>
      <c r="F17" s="99"/>
      <c r="G17" s="100"/>
      <c r="H17" s="97"/>
      <c r="I17" s="100"/>
    </row>
    <row r="18" spans="3:9" ht="13.2">
      <c r="C18" s="84" t="s">
        <v>650</v>
      </c>
      <c r="D18" s="85" t="s">
        <v>44</v>
      </c>
      <c r="E18" s="86">
        <v>1</v>
      </c>
      <c r="F18" s="87" t="s">
        <v>651</v>
      </c>
      <c r="G18" s="88" t="s">
        <v>652</v>
      </c>
      <c r="H18" s="89" t="s">
        <v>653</v>
      </c>
      <c r="I18" s="90" t="b">
        <f t="shared" ref="I18:I22" si="2">EXACT(F18,G18)</f>
        <v>0</v>
      </c>
    </row>
    <row r="19" spans="3:9" ht="13.2">
      <c r="C19" s="91"/>
      <c r="D19" s="91"/>
      <c r="E19" s="92">
        <v>2</v>
      </c>
      <c r="F19" s="1" t="s">
        <v>654</v>
      </c>
      <c r="G19" s="93" t="s">
        <v>655</v>
      </c>
      <c r="H19" s="94" t="s">
        <v>656</v>
      </c>
      <c r="I19" s="95" t="b">
        <f t="shared" si="2"/>
        <v>0</v>
      </c>
    </row>
    <row r="20" spans="3:9" ht="13.2">
      <c r="C20" s="91"/>
      <c r="D20" s="91"/>
      <c r="E20" s="92">
        <v>3</v>
      </c>
      <c r="F20" s="1" t="s">
        <v>657</v>
      </c>
      <c r="G20" s="93" t="s">
        <v>657</v>
      </c>
      <c r="H20" s="94" t="s">
        <v>658</v>
      </c>
      <c r="I20" s="95" t="b">
        <f t="shared" si="2"/>
        <v>1</v>
      </c>
    </row>
    <row r="21" spans="3:9" ht="13.2">
      <c r="C21" s="91"/>
      <c r="D21" s="91"/>
      <c r="E21" s="92">
        <v>4</v>
      </c>
      <c r="F21" s="1" t="s">
        <v>659</v>
      </c>
      <c r="G21" s="93" t="s">
        <v>660</v>
      </c>
      <c r="H21" s="94" t="s">
        <v>661</v>
      </c>
      <c r="I21" s="95" t="b">
        <f t="shared" si="2"/>
        <v>0</v>
      </c>
    </row>
    <row r="22" spans="3:9" ht="13.2">
      <c r="C22" s="91"/>
      <c r="D22" s="91"/>
      <c r="E22" s="92">
        <v>5</v>
      </c>
      <c r="F22" s="1" t="s">
        <v>662</v>
      </c>
      <c r="G22" s="93" t="s">
        <v>662</v>
      </c>
      <c r="H22" s="94" t="s">
        <v>663</v>
      </c>
      <c r="I22" s="95" t="b">
        <f t="shared" si="2"/>
        <v>1</v>
      </c>
    </row>
    <row r="23" spans="3:9" ht="13.2">
      <c r="C23" s="97"/>
      <c r="D23" s="97"/>
      <c r="E23" s="98"/>
      <c r="F23" s="99"/>
      <c r="G23" s="100"/>
      <c r="H23" s="97"/>
      <c r="I23" s="100"/>
    </row>
    <row r="24" spans="3:9" ht="13.2">
      <c r="C24" s="84" t="s">
        <v>664</v>
      </c>
      <c r="D24" s="85" t="s">
        <v>33</v>
      </c>
      <c r="E24" s="86">
        <v>1</v>
      </c>
      <c r="F24" s="87" t="s">
        <v>632</v>
      </c>
      <c r="G24" s="90"/>
      <c r="H24" s="89" t="s">
        <v>665</v>
      </c>
      <c r="I24" s="90">
        <f>FIND("t",F24,"4")</f>
        <v>4</v>
      </c>
    </row>
    <row r="25" spans="3:9" ht="13.2">
      <c r="C25" s="91"/>
      <c r="D25" s="91"/>
      <c r="E25" s="92">
        <v>2</v>
      </c>
      <c r="F25" s="1" t="s">
        <v>666</v>
      </c>
      <c r="G25" s="95"/>
      <c r="H25" s="94" t="s">
        <v>667</v>
      </c>
      <c r="I25" s="95">
        <f>FIND("o",F25,"1")</f>
        <v>2</v>
      </c>
    </row>
    <row r="26" spans="3:9" ht="13.2">
      <c r="C26" s="91"/>
      <c r="D26" s="91"/>
      <c r="E26" s="92">
        <v>3</v>
      </c>
      <c r="F26" s="1" t="s">
        <v>668</v>
      </c>
      <c r="G26" s="95"/>
      <c r="H26" s="94" t="s">
        <v>669</v>
      </c>
      <c r="I26" s="95">
        <f>FIND("o",F26,"2")</f>
        <v>3</v>
      </c>
    </row>
    <row r="27" spans="3:9" ht="13.2">
      <c r="C27" s="91"/>
      <c r="D27" s="91"/>
      <c r="E27" s="92">
        <v>4</v>
      </c>
      <c r="F27" s="1" t="s">
        <v>670</v>
      </c>
      <c r="G27" s="95"/>
      <c r="H27" s="94" t="s">
        <v>671</v>
      </c>
      <c r="I27" s="95">
        <f>FIND("m",F27,"1")</f>
        <v>1</v>
      </c>
    </row>
    <row r="28" spans="3:9" ht="13.2">
      <c r="C28" s="91"/>
      <c r="D28" s="91"/>
      <c r="E28" s="92">
        <v>5</v>
      </c>
      <c r="F28" s="1" t="s">
        <v>672</v>
      </c>
      <c r="G28" s="95"/>
      <c r="H28" s="94" t="s">
        <v>673</v>
      </c>
      <c r="I28" s="95">
        <f>FIND("o",F28,"2")</f>
        <v>2</v>
      </c>
    </row>
    <row r="29" spans="3:9" ht="13.2">
      <c r="C29" s="97"/>
      <c r="D29" s="97"/>
      <c r="E29" s="98"/>
      <c r="F29" s="99"/>
      <c r="G29" s="100"/>
      <c r="H29" s="97"/>
      <c r="I29" s="100"/>
    </row>
    <row r="30" spans="3:9" ht="13.2">
      <c r="C30" s="101" t="s">
        <v>674</v>
      </c>
      <c r="D30" s="102" t="s">
        <v>57</v>
      </c>
      <c r="E30" s="92">
        <v>1</v>
      </c>
      <c r="F30" s="1" t="s">
        <v>562</v>
      </c>
      <c r="G30" s="95"/>
      <c r="H30" s="94" t="s">
        <v>675</v>
      </c>
      <c r="I30" s="95" t="str">
        <f>LEFT(F30,3)</f>
        <v>nag</v>
      </c>
    </row>
    <row r="31" spans="3:9" ht="13.2">
      <c r="C31" s="91"/>
      <c r="D31" s="91"/>
      <c r="E31" s="92">
        <v>2</v>
      </c>
      <c r="F31" s="1" t="s">
        <v>676</v>
      </c>
      <c r="G31" s="95"/>
      <c r="H31" s="94" t="s">
        <v>677</v>
      </c>
      <c r="I31" s="95" t="str">
        <f>LEFT(F31,2)</f>
        <v>pu</v>
      </c>
    </row>
    <row r="32" spans="3:9" ht="13.2">
      <c r="C32" s="91"/>
      <c r="D32" s="91"/>
      <c r="E32" s="92">
        <v>3</v>
      </c>
      <c r="F32" s="1" t="s">
        <v>350</v>
      </c>
      <c r="G32" s="95"/>
      <c r="H32" s="94" t="s">
        <v>678</v>
      </c>
      <c r="I32" s="95" t="str">
        <f>LEFT(F32,5)</f>
        <v>mumba</v>
      </c>
    </row>
    <row r="33" spans="3:9" ht="13.2">
      <c r="C33" s="91"/>
      <c r="D33" s="91"/>
      <c r="E33" s="92">
        <v>4</v>
      </c>
      <c r="F33" s="1" t="s">
        <v>679</v>
      </c>
      <c r="G33" s="95"/>
      <c r="H33" s="94" t="s">
        <v>680</v>
      </c>
      <c r="I33" s="95" t="str">
        <f>LEFT(F33,4)</f>
        <v>nash</v>
      </c>
    </row>
    <row r="34" spans="3:9" ht="13.2">
      <c r="C34" s="91"/>
      <c r="D34" s="91"/>
      <c r="E34" s="92">
        <v>5</v>
      </c>
      <c r="F34" s="1" t="s">
        <v>681</v>
      </c>
      <c r="G34" s="95"/>
      <c r="H34" s="94" t="s">
        <v>682</v>
      </c>
      <c r="I34" s="95" t="str">
        <f>LEFT(F34,1)</f>
        <v>a</v>
      </c>
    </row>
    <row r="35" spans="3:9" ht="13.2">
      <c r="C35" s="91"/>
      <c r="D35" s="91"/>
      <c r="E35" s="103"/>
      <c r="G35" s="95"/>
      <c r="H35" s="91"/>
      <c r="I35" s="95"/>
    </row>
    <row r="36" spans="3:9" ht="13.2">
      <c r="C36" s="84" t="s">
        <v>683</v>
      </c>
      <c r="D36" s="85" t="s">
        <v>123</v>
      </c>
      <c r="E36" s="86">
        <v>1</v>
      </c>
      <c r="F36" s="87" t="s">
        <v>684</v>
      </c>
      <c r="G36" s="90"/>
      <c r="H36" s="89" t="s">
        <v>685</v>
      </c>
      <c r="I36" s="90" t="str">
        <f>RIGHT(F36,5)</f>
        <v>ender</v>
      </c>
    </row>
    <row r="37" spans="3:9" ht="13.2">
      <c r="C37" s="91"/>
      <c r="D37" s="91"/>
      <c r="E37" s="92">
        <v>2</v>
      </c>
      <c r="F37" s="1" t="s">
        <v>686</v>
      </c>
      <c r="G37" s="95"/>
      <c r="H37" s="94" t="s">
        <v>687</v>
      </c>
      <c r="I37" s="95" t="str">
        <f>RIGHT(F37,2)</f>
        <v>it</v>
      </c>
    </row>
    <row r="38" spans="3:9" ht="13.2">
      <c r="C38" s="91"/>
      <c r="D38" s="91"/>
      <c r="E38" s="92">
        <v>3</v>
      </c>
      <c r="F38" s="1" t="s">
        <v>688</v>
      </c>
      <c r="G38" s="95"/>
      <c r="H38" s="94" t="s">
        <v>689</v>
      </c>
      <c r="I38" s="95" t="str">
        <f>RIGHT(F38,3)</f>
        <v>wer</v>
      </c>
    </row>
    <row r="39" spans="3:9" ht="13.2">
      <c r="C39" s="91"/>
      <c r="D39" s="91"/>
      <c r="E39" s="92">
        <v>4</v>
      </c>
      <c r="F39" s="1" t="s">
        <v>690</v>
      </c>
      <c r="G39" s="95"/>
      <c r="H39" s="94" t="s">
        <v>691</v>
      </c>
      <c r="I39" s="95" t="str">
        <f>RIGHT(F39,4)</f>
        <v>quet</v>
      </c>
    </row>
    <row r="40" spans="3:9" ht="13.2">
      <c r="C40" s="91"/>
      <c r="D40" s="91"/>
      <c r="E40" s="92">
        <v>5</v>
      </c>
      <c r="F40" s="1" t="s">
        <v>692</v>
      </c>
      <c r="G40" s="95"/>
      <c r="H40" s="94" t="s">
        <v>693</v>
      </c>
      <c r="I40" s="95" t="str">
        <f>RIGHT(F40,3)</f>
        <v>day</v>
      </c>
    </row>
    <row r="41" spans="3:9" ht="13.2">
      <c r="C41" s="97"/>
      <c r="D41" s="97"/>
      <c r="E41" s="98"/>
      <c r="F41" s="99"/>
      <c r="G41" s="100"/>
      <c r="H41" s="97"/>
      <c r="I41" s="100"/>
    </row>
    <row r="42" spans="3:9" ht="13.2">
      <c r="C42" s="101" t="s">
        <v>694</v>
      </c>
      <c r="D42" s="102" t="s">
        <v>90</v>
      </c>
      <c r="E42" s="92">
        <v>1</v>
      </c>
      <c r="F42" s="1" t="s">
        <v>695</v>
      </c>
      <c r="G42" s="95"/>
      <c r="H42" s="94" t="s">
        <v>696</v>
      </c>
      <c r="I42" s="95" t="str">
        <f>MID(F42,2,3)</f>
        <v>lie</v>
      </c>
    </row>
    <row r="43" spans="3:9" ht="13.2">
      <c r="C43" s="91"/>
      <c r="D43" s="91"/>
      <c r="E43" s="92">
        <v>2</v>
      </c>
      <c r="F43" s="1" t="s">
        <v>697</v>
      </c>
      <c r="G43" s="95"/>
      <c r="H43" s="94" t="s">
        <v>698</v>
      </c>
      <c r="I43" s="95" t="str">
        <f>MID(F43,2,2)</f>
        <v>is</v>
      </c>
    </row>
    <row r="44" spans="3:9" ht="13.2">
      <c r="C44" s="91"/>
      <c r="D44" s="91"/>
      <c r="E44" s="92">
        <v>3</v>
      </c>
      <c r="F44" s="1" t="s">
        <v>699</v>
      </c>
      <c r="G44" s="95"/>
      <c r="H44" s="94" t="s">
        <v>700</v>
      </c>
      <c r="I44" s="95" t="str">
        <f>MID(F44,2,3)</f>
        <v>lot</v>
      </c>
    </row>
    <row r="45" spans="3:9" ht="13.2">
      <c r="C45" s="91"/>
      <c r="D45" s="91"/>
      <c r="E45" s="92">
        <v>4</v>
      </c>
      <c r="F45" s="1" t="s">
        <v>701</v>
      </c>
      <c r="G45" s="95"/>
      <c r="H45" s="94" t="s">
        <v>702</v>
      </c>
      <c r="I45" s="95" t="str">
        <f>MID(F45,6,3)</f>
        <v>rat</v>
      </c>
    </row>
    <row r="46" spans="3:9" ht="13.2">
      <c r="C46" s="91"/>
      <c r="D46" s="91"/>
      <c r="E46" s="92">
        <v>5</v>
      </c>
      <c r="F46" s="1" t="s">
        <v>703</v>
      </c>
      <c r="G46" s="95"/>
      <c r="H46" s="94" t="s">
        <v>704</v>
      </c>
      <c r="I46" s="95" t="str">
        <f>MID(F46,2,4)</f>
        <v>loud</v>
      </c>
    </row>
    <row r="47" spans="3:9" ht="13.2">
      <c r="C47" s="91"/>
      <c r="D47" s="91"/>
      <c r="E47" s="103"/>
      <c r="G47" s="95"/>
      <c r="H47" s="91"/>
      <c r="I47" s="95"/>
    </row>
    <row r="48" spans="3:9" ht="13.2">
      <c r="C48" s="84" t="s">
        <v>705</v>
      </c>
      <c r="D48" s="85" t="s">
        <v>112</v>
      </c>
      <c r="E48" s="86">
        <v>1</v>
      </c>
      <c r="F48" s="87" t="s">
        <v>706</v>
      </c>
      <c r="G48" s="90"/>
      <c r="H48" s="89" t="s">
        <v>707</v>
      </c>
      <c r="I48" s="90" t="str">
        <f>REPLACE(F48,1,4,"high")</f>
        <v>highway</v>
      </c>
    </row>
    <row r="49" spans="3:9" ht="13.2">
      <c r="C49" s="91"/>
      <c r="D49" s="91"/>
      <c r="E49" s="92">
        <v>2</v>
      </c>
      <c r="F49" s="1" t="s">
        <v>708</v>
      </c>
      <c r="G49" s="95"/>
      <c r="H49" s="94" t="s">
        <v>709</v>
      </c>
      <c r="I49" s="95" t="str">
        <f>REPLACE(F49,1,3,"febr")</f>
        <v>february</v>
      </c>
    </row>
    <row r="50" spans="3:9" ht="13.2">
      <c r="C50" s="91"/>
      <c r="D50" s="91"/>
      <c r="E50" s="92">
        <v>3</v>
      </c>
      <c r="F50" s="1" t="s">
        <v>710</v>
      </c>
      <c r="G50" s="95"/>
      <c r="H50" s="94" t="s">
        <v>711</v>
      </c>
      <c r="I50" s="95" t="str">
        <f>REPLACE(F50,3,5,"ace")</f>
        <v>space</v>
      </c>
    </row>
    <row r="51" spans="3:9" ht="13.2">
      <c r="C51" s="91"/>
      <c r="D51" s="91"/>
      <c r="E51" s="92">
        <v>4</v>
      </c>
      <c r="F51" s="1" t="s">
        <v>712</v>
      </c>
      <c r="G51" s="95"/>
      <c r="H51" s="94" t="s">
        <v>713</v>
      </c>
      <c r="I51" s="95" t="str">
        <f>REPLACE(F51,1,5,"self")</f>
        <v>selfstudy</v>
      </c>
    </row>
    <row r="52" spans="3:9" ht="13.2">
      <c r="C52" s="91"/>
      <c r="D52" s="91"/>
      <c r="E52" s="92">
        <v>5</v>
      </c>
      <c r="F52" s="1" t="s">
        <v>714</v>
      </c>
      <c r="G52" s="95"/>
      <c r="H52" s="94" t="s">
        <v>715</v>
      </c>
      <c r="I52" s="95" t="str">
        <f>REPLACE(F52,1,1,"b")</f>
        <v>bell</v>
      </c>
    </row>
    <row r="53" spans="3:9" ht="13.2">
      <c r="C53" s="97"/>
      <c r="D53" s="97"/>
      <c r="E53" s="98"/>
      <c r="F53" s="99"/>
      <c r="G53" s="100"/>
      <c r="H53" s="97"/>
      <c r="I53" s="100"/>
    </row>
    <row r="54" spans="3:9" ht="13.2">
      <c r="C54" s="101" t="s">
        <v>716</v>
      </c>
      <c r="D54" s="102" t="s">
        <v>79</v>
      </c>
      <c r="E54" s="92">
        <v>1</v>
      </c>
      <c r="F54" s="1" t="s">
        <v>717</v>
      </c>
      <c r="G54" s="95"/>
      <c r="H54" s="94" t="s">
        <v>718</v>
      </c>
      <c r="I54" s="95" t="str">
        <f t="shared" ref="I54:I58" si="3">LOWER(F54)</f>
        <v>computer</v>
      </c>
    </row>
    <row r="55" spans="3:9" ht="13.2">
      <c r="C55" s="91"/>
      <c r="D55" s="91"/>
      <c r="E55" s="92">
        <v>2</v>
      </c>
      <c r="F55" s="1" t="s">
        <v>719</v>
      </c>
      <c r="G55" s="95"/>
      <c r="H55" s="94" t="s">
        <v>720</v>
      </c>
      <c r="I55" s="95" t="str">
        <f t="shared" si="3"/>
        <v>chips</v>
      </c>
    </row>
    <row r="56" spans="3:9" ht="13.2">
      <c r="C56" s="91"/>
      <c r="D56" s="91"/>
      <c r="E56" s="92">
        <v>3</v>
      </c>
      <c r="F56" s="1" t="s">
        <v>721</v>
      </c>
      <c r="G56" s="95"/>
      <c r="H56" s="94" t="s">
        <v>722</v>
      </c>
      <c r="I56" s="95" t="str">
        <f t="shared" si="3"/>
        <v>phone</v>
      </c>
    </row>
    <row r="57" spans="3:9" ht="13.2">
      <c r="C57" s="91"/>
      <c r="D57" s="91"/>
      <c r="E57" s="92">
        <v>4</v>
      </c>
      <c r="F57" s="1" t="s">
        <v>723</v>
      </c>
      <c r="G57" s="95"/>
      <c r="H57" s="94" t="s">
        <v>724</v>
      </c>
      <c r="I57" s="95" t="str">
        <f t="shared" si="3"/>
        <v>building</v>
      </c>
    </row>
    <row r="58" spans="3:9" ht="13.2">
      <c r="C58" s="91"/>
      <c r="D58" s="91"/>
      <c r="E58" s="92">
        <v>5</v>
      </c>
      <c r="F58" s="1" t="s">
        <v>725</v>
      </c>
      <c r="G58" s="95"/>
      <c r="H58" s="94" t="s">
        <v>726</v>
      </c>
      <c r="I58" s="95" t="str">
        <f t="shared" si="3"/>
        <v>machine</v>
      </c>
    </row>
    <row r="59" spans="3:9" ht="13.2">
      <c r="C59" s="91"/>
      <c r="D59" s="91"/>
      <c r="E59" s="103"/>
      <c r="G59" s="95"/>
      <c r="H59" s="91"/>
      <c r="I59" s="95"/>
    </row>
    <row r="60" spans="3:9" ht="13.2">
      <c r="C60" s="84" t="s">
        <v>727</v>
      </c>
      <c r="D60" s="85" t="s">
        <v>134</v>
      </c>
      <c r="E60" s="86">
        <v>1</v>
      </c>
      <c r="F60" s="87" t="s">
        <v>728</v>
      </c>
      <c r="G60" s="90"/>
      <c r="H60" s="89" t="s">
        <v>729</v>
      </c>
      <c r="I60" s="90" t="str">
        <f t="shared" ref="I60:I64" si="4">UPPER(F60)</f>
        <v>EAGLE</v>
      </c>
    </row>
    <row r="61" spans="3:9" ht="13.2">
      <c r="C61" s="91"/>
      <c r="D61" s="91"/>
      <c r="E61" s="92">
        <v>2</v>
      </c>
      <c r="F61" s="1" t="s">
        <v>730</v>
      </c>
      <c r="G61" s="95"/>
      <c r="H61" s="94" t="s">
        <v>731</v>
      </c>
      <c r="I61" s="95" t="str">
        <f t="shared" si="4"/>
        <v>TREE</v>
      </c>
    </row>
    <row r="62" spans="3:9" ht="13.2">
      <c r="C62" s="91"/>
      <c r="D62" s="91"/>
      <c r="E62" s="92">
        <v>3</v>
      </c>
      <c r="F62" s="1" t="s">
        <v>732</v>
      </c>
      <c r="G62" s="95"/>
      <c r="H62" s="94" t="s">
        <v>733</v>
      </c>
      <c r="I62" s="95" t="str">
        <f t="shared" si="4"/>
        <v>SPARROW</v>
      </c>
    </row>
    <row r="63" spans="3:9" ht="13.2">
      <c r="C63" s="91"/>
      <c r="D63" s="91"/>
      <c r="E63" s="92">
        <v>4</v>
      </c>
      <c r="F63" s="1" t="s">
        <v>734</v>
      </c>
      <c r="G63" s="95"/>
      <c r="H63" s="94" t="s">
        <v>735</v>
      </c>
      <c r="I63" s="95" t="str">
        <f t="shared" si="4"/>
        <v>WATER</v>
      </c>
    </row>
    <row r="64" spans="3:9" ht="13.2">
      <c r="C64" s="91"/>
      <c r="D64" s="91"/>
      <c r="E64" s="92">
        <v>5</v>
      </c>
      <c r="F64" s="1" t="s">
        <v>736</v>
      </c>
      <c r="G64" s="95"/>
      <c r="H64" s="94" t="s">
        <v>737</v>
      </c>
      <c r="I64" s="95" t="str">
        <f t="shared" si="4"/>
        <v>CAT</v>
      </c>
    </row>
    <row r="65" spans="3:9" ht="13.2">
      <c r="C65" s="97"/>
      <c r="D65" s="97"/>
      <c r="E65" s="98"/>
      <c r="F65" s="99"/>
      <c r="G65" s="100"/>
      <c r="H65" s="97"/>
      <c r="I65" s="100"/>
    </row>
    <row r="66" spans="3:9" ht="13.2">
      <c r="C66" s="101" t="s">
        <v>738</v>
      </c>
      <c r="D66" s="102" t="s">
        <v>68</v>
      </c>
      <c r="E66" s="92">
        <v>1</v>
      </c>
      <c r="F66" s="1" t="s">
        <v>739</v>
      </c>
      <c r="G66" s="95"/>
      <c r="H66" s="94" t="s">
        <v>740</v>
      </c>
      <c r="I66" s="95">
        <f t="shared" ref="I66:I70" si="5">LEN(F66)</f>
        <v>6</v>
      </c>
    </row>
    <row r="67" spans="3:9" ht="13.2">
      <c r="C67" s="91"/>
      <c r="D67" s="91"/>
      <c r="E67" s="92">
        <v>2</v>
      </c>
      <c r="F67" s="1" t="s">
        <v>741</v>
      </c>
      <c r="G67" s="95"/>
      <c r="H67" s="94" t="s">
        <v>742</v>
      </c>
      <c r="I67" s="95">
        <f t="shared" si="5"/>
        <v>5</v>
      </c>
    </row>
    <row r="68" spans="3:9" ht="13.2">
      <c r="C68" s="91"/>
      <c r="D68" s="91"/>
      <c r="E68" s="92">
        <v>3</v>
      </c>
      <c r="F68" s="1" t="s">
        <v>743</v>
      </c>
      <c r="G68" s="95"/>
      <c r="H68" s="94" t="s">
        <v>744</v>
      </c>
      <c r="I68" s="95">
        <f t="shared" si="5"/>
        <v>3</v>
      </c>
    </row>
    <row r="69" spans="3:9" ht="13.2">
      <c r="C69" s="91"/>
      <c r="D69" s="91"/>
      <c r="E69" s="92">
        <v>4</v>
      </c>
      <c r="F69" s="1" t="s">
        <v>745</v>
      </c>
      <c r="G69" s="95"/>
      <c r="H69" s="94" t="s">
        <v>746</v>
      </c>
      <c r="I69" s="95">
        <f t="shared" si="5"/>
        <v>9</v>
      </c>
    </row>
    <row r="70" spans="3:9" ht="13.2">
      <c r="C70" s="91"/>
      <c r="D70" s="91"/>
      <c r="E70" s="92">
        <v>5</v>
      </c>
      <c r="F70" s="1" t="s">
        <v>747</v>
      </c>
      <c r="G70" s="95"/>
      <c r="H70" s="94" t="s">
        <v>748</v>
      </c>
      <c r="I70" s="95">
        <f t="shared" si="5"/>
        <v>8</v>
      </c>
    </row>
    <row r="71" spans="3:9" ht="13.2">
      <c r="C71" s="91"/>
      <c r="D71" s="91"/>
      <c r="E71" s="103"/>
      <c r="G71" s="95"/>
      <c r="H71" s="91"/>
      <c r="I71" s="95"/>
    </row>
    <row r="72" spans="3:9" ht="13.2">
      <c r="C72" s="84" t="s">
        <v>749</v>
      </c>
      <c r="D72" s="85" t="s">
        <v>101</v>
      </c>
      <c r="E72" s="86">
        <v>1</v>
      </c>
      <c r="F72" s="87" t="s">
        <v>750</v>
      </c>
      <c r="G72" s="90"/>
      <c r="H72" s="89" t="s">
        <v>751</v>
      </c>
      <c r="I72" s="90" t="str">
        <f t="shared" ref="I72:I76" si="6">PROPER(F72)</f>
        <v>Singing</v>
      </c>
    </row>
    <row r="73" spans="3:9" ht="13.2">
      <c r="C73" s="91"/>
      <c r="D73" s="91"/>
      <c r="E73" s="92">
        <v>2</v>
      </c>
      <c r="F73" s="1" t="s">
        <v>752</v>
      </c>
      <c r="G73" s="95"/>
      <c r="H73" s="94" t="s">
        <v>753</v>
      </c>
      <c r="I73" s="95" t="str">
        <f t="shared" si="6"/>
        <v>Time Table</v>
      </c>
    </row>
    <row r="74" spans="3:9" ht="13.2">
      <c r="C74" s="91"/>
      <c r="D74" s="91"/>
      <c r="E74" s="92">
        <v>3</v>
      </c>
      <c r="F74" s="1" t="s">
        <v>754</v>
      </c>
      <c r="G74" s="95"/>
      <c r="H74" s="94" t="s">
        <v>755</v>
      </c>
      <c r="I74" s="95" t="str">
        <f t="shared" si="6"/>
        <v>Danceing</v>
      </c>
    </row>
    <row r="75" spans="3:9" ht="13.2">
      <c r="C75" s="91"/>
      <c r="D75" s="91"/>
      <c r="E75" s="92">
        <v>4</v>
      </c>
      <c r="F75" s="1" t="s">
        <v>756</v>
      </c>
      <c r="G75" s="95"/>
      <c r="H75" s="94" t="s">
        <v>757</v>
      </c>
      <c r="I75" s="95" t="str">
        <f t="shared" si="6"/>
        <v>Eyes</v>
      </c>
    </row>
    <row r="76" spans="3:9" ht="13.2">
      <c r="C76" s="97"/>
      <c r="D76" s="97"/>
      <c r="E76" s="104">
        <v>5</v>
      </c>
      <c r="F76" s="105" t="s">
        <v>758</v>
      </c>
      <c r="G76" s="100"/>
      <c r="H76" s="106" t="s">
        <v>759</v>
      </c>
      <c r="I76" s="100" t="str">
        <f t="shared" si="6"/>
        <v>Dream</v>
      </c>
    </row>
  </sheetData>
  <hyperlinks>
    <hyperlink ref="C5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G92"/>
  <sheetViews>
    <sheetView workbookViewId="0"/>
  </sheetViews>
  <sheetFormatPr defaultColWidth="12.6640625" defaultRowHeight="15.75" customHeight="1"/>
  <cols>
    <col min="9" max="9" width="31.33203125" customWidth="1"/>
    <col min="10" max="10" width="17.44140625" customWidth="1"/>
  </cols>
  <sheetData>
    <row r="1" spans="1:371" ht="15.7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</row>
    <row r="2" spans="1:371" ht="15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15"/>
      <c r="KZ2" s="15"/>
      <c r="LA2" s="15"/>
      <c r="LB2" s="15"/>
      <c r="LC2" s="15"/>
      <c r="LD2" s="15"/>
      <c r="LE2" s="15"/>
      <c r="LF2" s="15"/>
      <c r="LG2" s="15"/>
      <c r="LH2" s="15"/>
      <c r="LI2" s="15"/>
      <c r="LJ2" s="15"/>
      <c r="LK2" s="15"/>
      <c r="LL2" s="15"/>
      <c r="LM2" s="15"/>
      <c r="LN2" s="15"/>
      <c r="LO2" s="15"/>
      <c r="LP2" s="15"/>
      <c r="LQ2" s="15"/>
      <c r="LR2" s="15"/>
      <c r="LS2" s="15"/>
      <c r="LT2" s="15"/>
      <c r="LU2" s="15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</row>
    <row r="3" spans="1:371" ht="15.75" customHeight="1">
      <c r="A3" s="15"/>
      <c r="B3" s="15"/>
      <c r="C3" s="282" t="s">
        <v>1</v>
      </c>
      <c r="D3" s="282" t="s">
        <v>2</v>
      </c>
      <c r="E3" s="284" t="s">
        <v>3</v>
      </c>
      <c r="F3" s="285"/>
      <c r="G3" s="285"/>
      <c r="H3" s="286"/>
      <c r="I3" s="282" t="s">
        <v>4</v>
      </c>
      <c r="J3" s="282" t="s">
        <v>5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07">
        <v>1</v>
      </c>
    </row>
    <row r="4" spans="1:371" ht="15.75" customHeight="1">
      <c r="A4" s="15"/>
      <c r="B4" s="15"/>
      <c r="C4" s="283"/>
      <c r="D4" s="283"/>
      <c r="E4" s="287"/>
      <c r="F4" s="288"/>
      <c r="G4" s="288"/>
      <c r="H4" s="289"/>
      <c r="I4" s="283"/>
      <c r="J4" s="283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</row>
    <row r="5" spans="1:371" ht="15.75" customHeight="1">
      <c r="A5" s="15"/>
      <c r="B5" s="15"/>
      <c r="C5" s="290">
        <v>1</v>
      </c>
      <c r="D5" s="290" t="s">
        <v>760</v>
      </c>
      <c r="E5" s="108"/>
      <c r="F5" s="108"/>
      <c r="G5" s="108"/>
      <c r="H5" s="108"/>
      <c r="I5" s="109" t="s">
        <v>761</v>
      </c>
      <c r="J5" s="110" t="s">
        <v>762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/>
      <c r="JH5" s="15"/>
      <c r="JI5" s="15"/>
      <c r="JJ5" s="15"/>
      <c r="JK5" s="15"/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/>
      <c r="KH5" s="15"/>
      <c r="KI5" s="15"/>
      <c r="KJ5" s="15"/>
      <c r="KK5" s="15"/>
      <c r="KL5" s="15"/>
      <c r="KM5" s="15"/>
      <c r="KN5" s="15"/>
      <c r="KO5" s="15"/>
      <c r="KP5" s="15"/>
      <c r="KQ5" s="15"/>
      <c r="KR5" s="15"/>
      <c r="KS5" s="15"/>
      <c r="KT5" s="15"/>
      <c r="KU5" s="15"/>
      <c r="KV5" s="15"/>
      <c r="KW5" s="15"/>
      <c r="KX5" s="15"/>
      <c r="KY5" s="15"/>
      <c r="KZ5" s="15"/>
      <c r="LA5" s="15"/>
      <c r="LB5" s="15"/>
      <c r="LC5" s="15"/>
      <c r="LD5" s="15"/>
      <c r="LE5" s="15"/>
      <c r="LF5" s="15"/>
      <c r="LG5" s="15"/>
      <c r="LH5" s="15"/>
      <c r="LI5" s="15"/>
      <c r="LJ5" s="15"/>
      <c r="LK5" s="15"/>
      <c r="LL5" s="15"/>
      <c r="LM5" s="15"/>
      <c r="LN5" s="15"/>
      <c r="LO5" s="15"/>
      <c r="LP5" s="15"/>
      <c r="LQ5" s="15"/>
      <c r="LR5" s="15"/>
      <c r="LS5" s="15"/>
      <c r="LT5" s="15"/>
      <c r="LU5" s="15"/>
      <c r="LV5" s="15"/>
      <c r="LW5" s="15"/>
      <c r="LX5" s="15"/>
      <c r="LY5" s="15"/>
      <c r="LZ5" s="15"/>
      <c r="MA5" s="15"/>
      <c r="MB5" s="15"/>
      <c r="MC5" s="15"/>
      <c r="MD5" s="15"/>
      <c r="ME5" s="15"/>
      <c r="MF5" s="15"/>
      <c r="MG5" s="15"/>
      <c r="MH5" s="15"/>
      <c r="MI5" s="15"/>
      <c r="MJ5" s="15"/>
      <c r="MK5" s="15"/>
      <c r="ML5" s="15"/>
      <c r="MM5" s="15"/>
      <c r="MN5" s="15"/>
      <c r="MO5" s="15"/>
      <c r="MP5" s="15"/>
      <c r="MQ5" s="15"/>
      <c r="MR5" s="15"/>
      <c r="MS5" s="15"/>
      <c r="MT5" s="15"/>
      <c r="MU5" s="15"/>
      <c r="MV5" s="15"/>
      <c r="MW5" s="15"/>
      <c r="MX5" s="15"/>
      <c r="MY5" s="15"/>
      <c r="MZ5" s="15"/>
      <c r="NA5" s="15"/>
      <c r="NB5" s="15"/>
      <c r="NC5" s="15"/>
      <c r="ND5" s="15"/>
      <c r="NE5" s="15"/>
      <c r="NF5" s="15"/>
      <c r="NG5" s="15"/>
    </row>
    <row r="6" spans="1:371" ht="15.75" customHeight="1">
      <c r="A6" s="15"/>
      <c r="B6" s="15"/>
      <c r="C6" s="291"/>
      <c r="D6" s="291"/>
      <c r="E6" s="108"/>
      <c r="F6" s="108"/>
      <c r="G6" s="108"/>
      <c r="H6" s="108"/>
      <c r="I6" s="109" t="s">
        <v>763</v>
      </c>
      <c r="J6" s="110" t="s">
        <v>764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  <c r="IX6" s="15"/>
      <c r="IY6" s="15"/>
      <c r="IZ6" s="15"/>
      <c r="JA6" s="15"/>
      <c r="JB6" s="15"/>
      <c r="JC6" s="15"/>
      <c r="JD6" s="15"/>
      <c r="JE6" s="15"/>
      <c r="JF6" s="15"/>
      <c r="JG6" s="15"/>
      <c r="JH6" s="15"/>
      <c r="JI6" s="15"/>
      <c r="JJ6" s="15"/>
      <c r="JK6" s="15"/>
      <c r="JL6" s="15"/>
      <c r="JM6" s="15"/>
      <c r="JN6" s="15"/>
      <c r="JO6" s="15"/>
      <c r="JP6" s="15"/>
      <c r="JQ6" s="15"/>
      <c r="JR6" s="15"/>
      <c r="JS6" s="15"/>
      <c r="JT6" s="15"/>
      <c r="JU6" s="15"/>
      <c r="JV6" s="15"/>
      <c r="JW6" s="15"/>
      <c r="JX6" s="15"/>
      <c r="JY6" s="15"/>
      <c r="JZ6" s="15"/>
      <c r="KA6" s="15"/>
      <c r="KB6" s="15"/>
      <c r="KC6" s="15"/>
      <c r="KD6" s="15"/>
      <c r="KE6" s="15"/>
      <c r="KF6" s="15"/>
      <c r="KG6" s="15"/>
      <c r="KH6" s="15"/>
      <c r="KI6" s="15"/>
      <c r="KJ6" s="15"/>
      <c r="KK6" s="15"/>
      <c r="KL6" s="15"/>
      <c r="KM6" s="15"/>
      <c r="KN6" s="15"/>
      <c r="KO6" s="15"/>
      <c r="KP6" s="15"/>
      <c r="KQ6" s="15"/>
      <c r="KR6" s="15"/>
      <c r="KS6" s="15"/>
      <c r="KT6" s="15"/>
      <c r="KU6" s="15"/>
      <c r="KV6" s="15"/>
      <c r="KW6" s="15"/>
      <c r="KX6" s="15"/>
      <c r="KY6" s="15"/>
      <c r="KZ6" s="15"/>
      <c r="LA6" s="15"/>
      <c r="LB6" s="15"/>
      <c r="LC6" s="15"/>
      <c r="LD6" s="15"/>
      <c r="LE6" s="15"/>
      <c r="LF6" s="15"/>
      <c r="LG6" s="15"/>
      <c r="LH6" s="15"/>
      <c r="LI6" s="15"/>
      <c r="LJ6" s="15"/>
      <c r="LK6" s="15"/>
      <c r="LL6" s="15"/>
      <c r="LM6" s="15"/>
      <c r="LN6" s="15"/>
      <c r="LO6" s="15"/>
      <c r="LP6" s="15"/>
      <c r="LQ6" s="15"/>
      <c r="LR6" s="15"/>
      <c r="LS6" s="15"/>
      <c r="LT6" s="15"/>
      <c r="LU6" s="15"/>
      <c r="LV6" s="15"/>
      <c r="LW6" s="15"/>
      <c r="LX6" s="15"/>
      <c r="LY6" s="15"/>
      <c r="LZ6" s="15"/>
      <c r="MA6" s="15"/>
      <c r="MB6" s="15"/>
      <c r="MC6" s="15"/>
      <c r="MD6" s="15"/>
      <c r="ME6" s="15"/>
      <c r="MF6" s="15"/>
      <c r="MG6" s="15"/>
      <c r="MH6" s="15"/>
      <c r="MI6" s="15"/>
      <c r="MJ6" s="15"/>
      <c r="MK6" s="15"/>
      <c r="ML6" s="15"/>
      <c r="MM6" s="15"/>
      <c r="MN6" s="15"/>
      <c r="MO6" s="15"/>
      <c r="MP6" s="15"/>
      <c r="MQ6" s="15"/>
      <c r="MR6" s="15"/>
      <c r="MS6" s="15"/>
      <c r="MT6" s="15"/>
      <c r="MU6" s="15"/>
      <c r="MV6" s="15"/>
      <c r="MW6" s="15"/>
      <c r="MX6" s="15"/>
      <c r="MY6" s="15"/>
      <c r="MZ6" s="15"/>
      <c r="NA6" s="15"/>
      <c r="NB6" s="15"/>
      <c r="NC6" s="15"/>
      <c r="ND6" s="15"/>
      <c r="NE6" s="15"/>
      <c r="NF6" s="15"/>
      <c r="NG6" s="15"/>
    </row>
    <row r="7" spans="1:371" ht="15.75" customHeight="1">
      <c r="A7" s="15"/>
      <c r="B7" s="15"/>
      <c r="C7" s="291"/>
      <c r="D7" s="291"/>
      <c r="E7" s="108"/>
      <c r="F7" s="108"/>
      <c r="G7" s="108"/>
      <c r="H7" s="108"/>
      <c r="I7" s="109" t="s">
        <v>765</v>
      </c>
      <c r="J7" s="110" t="s">
        <v>766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  <c r="IY7" s="15"/>
      <c r="IZ7" s="15"/>
      <c r="JA7" s="15"/>
      <c r="JB7" s="15"/>
      <c r="JC7" s="15"/>
      <c r="JD7" s="15"/>
      <c r="JE7" s="15"/>
      <c r="JF7" s="15"/>
      <c r="JG7" s="15"/>
      <c r="JH7" s="15"/>
      <c r="JI7" s="15"/>
      <c r="JJ7" s="15"/>
      <c r="JK7" s="15"/>
      <c r="JL7" s="15"/>
      <c r="JM7" s="15"/>
      <c r="JN7" s="15"/>
      <c r="JO7" s="15"/>
      <c r="JP7" s="15"/>
      <c r="JQ7" s="15"/>
      <c r="JR7" s="15"/>
      <c r="JS7" s="15"/>
      <c r="JT7" s="15"/>
      <c r="JU7" s="15"/>
      <c r="JV7" s="15"/>
      <c r="JW7" s="15"/>
      <c r="JX7" s="15"/>
      <c r="JY7" s="15"/>
      <c r="JZ7" s="15"/>
      <c r="KA7" s="15"/>
      <c r="KB7" s="15"/>
      <c r="KC7" s="15"/>
      <c r="KD7" s="15"/>
      <c r="KE7" s="15"/>
      <c r="KF7" s="15"/>
      <c r="KG7" s="15"/>
      <c r="KH7" s="15"/>
      <c r="KI7" s="15"/>
      <c r="KJ7" s="15"/>
      <c r="KK7" s="15"/>
      <c r="KL7" s="15"/>
      <c r="KM7" s="15"/>
      <c r="KN7" s="15"/>
      <c r="KO7" s="15"/>
      <c r="KP7" s="15"/>
      <c r="KQ7" s="15"/>
      <c r="KR7" s="15"/>
      <c r="KS7" s="15"/>
      <c r="KT7" s="15"/>
      <c r="KU7" s="15"/>
      <c r="KV7" s="15"/>
      <c r="KW7" s="15"/>
      <c r="KX7" s="15"/>
      <c r="KY7" s="15"/>
      <c r="KZ7" s="15"/>
      <c r="LA7" s="15"/>
      <c r="LB7" s="15"/>
      <c r="LC7" s="15"/>
      <c r="LD7" s="15"/>
      <c r="LE7" s="15"/>
      <c r="LF7" s="15"/>
      <c r="LG7" s="15"/>
      <c r="LH7" s="15"/>
      <c r="LI7" s="15"/>
      <c r="LJ7" s="15"/>
      <c r="LK7" s="15"/>
      <c r="LL7" s="15"/>
      <c r="LM7" s="15"/>
      <c r="LN7" s="15"/>
      <c r="LO7" s="15"/>
      <c r="LP7" s="15"/>
      <c r="LQ7" s="15"/>
      <c r="LR7" s="15"/>
      <c r="LS7" s="15"/>
      <c r="LT7" s="15"/>
      <c r="LU7" s="15"/>
      <c r="LV7" s="15"/>
      <c r="LW7" s="15"/>
      <c r="LX7" s="15"/>
      <c r="LY7" s="15"/>
      <c r="LZ7" s="15"/>
      <c r="MA7" s="15"/>
      <c r="MB7" s="15"/>
      <c r="MC7" s="15"/>
      <c r="MD7" s="15"/>
      <c r="ME7" s="15"/>
      <c r="MF7" s="15"/>
      <c r="MG7" s="15"/>
      <c r="MH7" s="15"/>
      <c r="MI7" s="15"/>
      <c r="MJ7" s="15"/>
      <c r="MK7" s="15"/>
      <c r="ML7" s="15"/>
      <c r="MM7" s="15"/>
      <c r="MN7" s="15"/>
      <c r="MO7" s="15"/>
      <c r="MP7" s="15"/>
      <c r="MQ7" s="15"/>
      <c r="MR7" s="15"/>
      <c r="MS7" s="15"/>
      <c r="MT7" s="15"/>
      <c r="MU7" s="15"/>
      <c r="MV7" s="15"/>
      <c r="MW7" s="15"/>
      <c r="MX7" s="15"/>
      <c r="MY7" s="15"/>
      <c r="MZ7" s="15"/>
      <c r="NA7" s="15"/>
      <c r="NB7" s="15"/>
      <c r="NC7" s="15"/>
      <c r="ND7" s="15"/>
      <c r="NE7" s="15"/>
      <c r="NF7" s="15"/>
      <c r="NG7" s="15"/>
    </row>
    <row r="8" spans="1:371" ht="15.75" customHeight="1">
      <c r="A8" s="15"/>
      <c r="B8" s="15"/>
      <c r="C8" s="291"/>
      <c r="D8" s="291"/>
      <c r="E8" s="108"/>
      <c r="F8" s="108"/>
      <c r="G8" s="108"/>
      <c r="H8" s="108"/>
      <c r="I8" s="109" t="s">
        <v>767</v>
      </c>
      <c r="J8" s="110" t="s">
        <v>768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5"/>
      <c r="JP8" s="15"/>
      <c r="JQ8" s="15"/>
      <c r="JR8" s="15"/>
      <c r="JS8" s="15"/>
      <c r="JT8" s="15"/>
      <c r="JU8" s="15"/>
      <c r="JV8" s="15"/>
      <c r="JW8" s="15"/>
      <c r="JX8" s="15"/>
      <c r="JY8" s="15"/>
      <c r="JZ8" s="15"/>
      <c r="KA8" s="15"/>
      <c r="KB8" s="15"/>
      <c r="KC8" s="15"/>
      <c r="KD8" s="15"/>
      <c r="KE8" s="15"/>
      <c r="KF8" s="15"/>
      <c r="KG8" s="15"/>
      <c r="KH8" s="15"/>
      <c r="KI8" s="15"/>
      <c r="KJ8" s="15"/>
      <c r="KK8" s="15"/>
      <c r="KL8" s="15"/>
      <c r="KM8" s="15"/>
      <c r="KN8" s="15"/>
      <c r="KO8" s="15"/>
      <c r="KP8" s="15"/>
      <c r="KQ8" s="15"/>
      <c r="KR8" s="15"/>
      <c r="KS8" s="15"/>
      <c r="KT8" s="15"/>
      <c r="KU8" s="15"/>
      <c r="KV8" s="15"/>
      <c r="KW8" s="15"/>
      <c r="KX8" s="15"/>
      <c r="KY8" s="15"/>
      <c r="KZ8" s="15"/>
      <c r="LA8" s="15"/>
      <c r="LB8" s="15"/>
      <c r="LC8" s="15"/>
      <c r="LD8" s="15"/>
      <c r="LE8" s="15"/>
      <c r="LF8" s="15"/>
      <c r="LG8" s="15"/>
      <c r="LH8" s="15"/>
      <c r="LI8" s="15"/>
      <c r="LJ8" s="15"/>
      <c r="LK8" s="15"/>
      <c r="LL8" s="15"/>
      <c r="LM8" s="15"/>
      <c r="LN8" s="15"/>
      <c r="LO8" s="15"/>
      <c r="LP8" s="15"/>
      <c r="LQ8" s="15"/>
      <c r="LR8" s="15"/>
      <c r="LS8" s="15"/>
      <c r="LT8" s="15"/>
      <c r="LU8" s="15"/>
      <c r="LV8" s="15"/>
      <c r="LW8" s="15"/>
      <c r="LX8" s="15"/>
      <c r="LY8" s="15"/>
      <c r="LZ8" s="15"/>
      <c r="MA8" s="15"/>
      <c r="MB8" s="15"/>
      <c r="MC8" s="15"/>
      <c r="MD8" s="15"/>
      <c r="ME8" s="15"/>
      <c r="MF8" s="15"/>
      <c r="MG8" s="15"/>
      <c r="MH8" s="15"/>
      <c r="MI8" s="15"/>
      <c r="MJ8" s="15"/>
      <c r="MK8" s="15"/>
      <c r="ML8" s="15"/>
      <c r="MM8" s="15"/>
      <c r="MN8" s="15"/>
      <c r="MO8" s="15"/>
      <c r="MP8" s="15"/>
      <c r="MQ8" s="15"/>
      <c r="MR8" s="15"/>
      <c r="MS8" s="15"/>
      <c r="MT8" s="15"/>
      <c r="MU8" s="15"/>
      <c r="MV8" s="15"/>
      <c r="MW8" s="15"/>
      <c r="MX8" s="15"/>
      <c r="MY8" s="15"/>
      <c r="MZ8" s="15"/>
      <c r="NA8" s="15"/>
      <c r="NB8" s="15"/>
      <c r="NC8" s="15"/>
      <c r="ND8" s="15"/>
      <c r="NE8" s="15"/>
      <c r="NF8" s="15"/>
      <c r="NG8" s="15"/>
    </row>
    <row r="9" spans="1:371" ht="15.75" customHeight="1">
      <c r="A9" s="15"/>
      <c r="B9" s="15"/>
      <c r="C9" s="283"/>
      <c r="D9" s="283"/>
      <c r="E9" s="108"/>
      <c r="F9" s="108"/>
      <c r="G9" s="108"/>
      <c r="H9" s="108"/>
      <c r="I9" s="109" t="s">
        <v>769</v>
      </c>
      <c r="J9" s="110" t="s">
        <v>770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5"/>
      <c r="ME9" s="15"/>
      <c r="MF9" s="15"/>
      <c r="MG9" s="15"/>
      <c r="MH9" s="15"/>
      <c r="MI9" s="15"/>
      <c r="MJ9" s="15"/>
      <c r="MK9" s="15"/>
      <c r="ML9" s="15"/>
      <c r="MM9" s="15"/>
      <c r="MN9" s="15"/>
      <c r="MO9" s="15"/>
      <c r="MP9" s="15"/>
      <c r="MQ9" s="15"/>
      <c r="MR9" s="15"/>
      <c r="MS9" s="15"/>
      <c r="MT9" s="15"/>
      <c r="MU9" s="15"/>
      <c r="MV9" s="15"/>
      <c r="MW9" s="15"/>
      <c r="MX9" s="15"/>
      <c r="MY9" s="15"/>
      <c r="MZ9" s="15"/>
      <c r="NA9" s="15"/>
      <c r="NB9" s="15"/>
      <c r="NC9" s="15"/>
      <c r="ND9" s="15"/>
      <c r="NE9" s="15"/>
      <c r="NF9" s="15"/>
      <c r="NG9" s="15"/>
    </row>
    <row r="10" spans="1:371" ht="15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5"/>
      <c r="ME10" s="15"/>
      <c r="MF10" s="15"/>
      <c r="MG10" s="15"/>
      <c r="MH10" s="15"/>
      <c r="MI10" s="15"/>
      <c r="MJ10" s="15"/>
      <c r="MK10" s="15"/>
      <c r="ML10" s="15"/>
      <c r="MM10" s="15"/>
      <c r="MN10" s="15"/>
      <c r="MO10" s="15"/>
      <c r="MP10" s="15"/>
      <c r="MQ10" s="15"/>
      <c r="MR10" s="15"/>
      <c r="MS10" s="15"/>
      <c r="MT10" s="15"/>
      <c r="MU10" s="15"/>
      <c r="MV10" s="15"/>
      <c r="MW10" s="15"/>
      <c r="MX10" s="15"/>
      <c r="MY10" s="15"/>
      <c r="MZ10" s="15"/>
      <c r="NA10" s="15"/>
      <c r="NB10" s="15"/>
      <c r="NC10" s="15"/>
      <c r="ND10" s="15"/>
      <c r="NE10" s="15"/>
      <c r="NF10" s="15"/>
      <c r="NG10" s="15"/>
    </row>
    <row r="11" spans="1:371" ht="15.75" customHeight="1">
      <c r="A11" s="15"/>
      <c r="B11" s="15"/>
      <c r="C11" s="290">
        <v>2</v>
      </c>
      <c r="D11" s="290" t="s">
        <v>17</v>
      </c>
      <c r="E11" s="108"/>
      <c r="F11" s="109" t="s">
        <v>771</v>
      </c>
      <c r="G11" s="109" t="s">
        <v>772</v>
      </c>
      <c r="H11" s="108"/>
      <c r="I11" s="109" t="s">
        <v>773</v>
      </c>
      <c r="J11" s="110" t="e">
        <f t="shared" ref="J11:J15" ca="1" si="0">_xludf.CONCAT(F11,G11)</f>
        <v>#NAME?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  <c r="MK11" s="15"/>
      <c r="ML11" s="15"/>
      <c r="MM11" s="15"/>
      <c r="MN11" s="15"/>
      <c r="MO11" s="15"/>
      <c r="MP11" s="15"/>
      <c r="MQ11" s="15"/>
      <c r="MR11" s="15"/>
      <c r="MS11" s="15"/>
      <c r="MT11" s="15"/>
      <c r="MU11" s="15"/>
      <c r="MV11" s="15"/>
      <c r="MW11" s="15"/>
      <c r="MX11" s="15"/>
      <c r="MY11" s="15"/>
      <c r="MZ11" s="15"/>
      <c r="NA11" s="15"/>
      <c r="NB11" s="15"/>
      <c r="NC11" s="15"/>
      <c r="ND11" s="15"/>
      <c r="NE11" s="15"/>
      <c r="NF11" s="15"/>
      <c r="NG11" s="15"/>
    </row>
    <row r="12" spans="1:371" ht="15.75" customHeight="1">
      <c r="A12" s="15"/>
      <c r="B12" s="15"/>
      <c r="C12" s="291"/>
      <c r="D12" s="291"/>
      <c r="E12" s="108"/>
      <c r="F12" s="109" t="s">
        <v>774</v>
      </c>
      <c r="G12" s="109" t="s">
        <v>775</v>
      </c>
      <c r="H12" s="108"/>
      <c r="I12" s="109" t="s">
        <v>773</v>
      </c>
      <c r="J12" s="110" t="e">
        <f t="shared" ca="1" si="0"/>
        <v>#NAME?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15"/>
      <c r="ML12" s="15"/>
      <c r="MM12" s="15"/>
      <c r="MN12" s="15"/>
      <c r="MO12" s="15"/>
      <c r="MP12" s="15"/>
      <c r="MQ12" s="15"/>
      <c r="MR12" s="15"/>
      <c r="MS12" s="15"/>
      <c r="MT12" s="15"/>
      <c r="MU12" s="15"/>
      <c r="MV12" s="15"/>
      <c r="MW12" s="15"/>
      <c r="MX12" s="15"/>
      <c r="MY12" s="15"/>
      <c r="MZ12" s="15"/>
      <c r="NA12" s="15"/>
      <c r="NB12" s="15"/>
      <c r="NC12" s="15"/>
      <c r="ND12" s="15"/>
      <c r="NE12" s="15"/>
      <c r="NF12" s="15"/>
      <c r="NG12" s="15"/>
    </row>
    <row r="13" spans="1:371" ht="15.75" customHeight="1">
      <c r="A13" s="15"/>
      <c r="B13" s="15"/>
      <c r="C13" s="291"/>
      <c r="D13" s="291"/>
      <c r="E13" s="108"/>
      <c r="F13" s="109" t="s">
        <v>776</v>
      </c>
      <c r="G13" s="109" t="s">
        <v>777</v>
      </c>
      <c r="H13" s="108"/>
      <c r="I13" s="109" t="s">
        <v>778</v>
      </c>
      <c r="J13" s="110" t="e">
        <f t="shared" ca="1" si="0"/>
        <v>#NAME?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  <c r="IX13" s="15"/>
      <c r="IY13" s="15"/>
      <c r="IZ13" s="15"/>
      <c r="JA13" s="15"/>
      <c r="JB13" s="15"/>
      <c r="JC13" s="15"/>
      <c r="JD13" s="15"/>
      <c r="JE13" s="15"/>
      <c r="JF13" s="15"/>
      <c r="JG13" s="15"/>
      <c r="JH13" s="15"/>
      <c r="JI13" s="15"/>
      <c r="JJ13" s="15"/>
      <c r="JK13" s="15"/>
      <c r="JL13" s="15"/>
      <c r="JM13" s="15"/>
      <c r="JN13" s="15"/>
      <c r="JO13" s="15"/>
      <c r="JP13" s="15"/>
      <c r="JQ13" s="15"/>
      <c r="JR13" s="15"/>
      <c r="JS13" s="15"/>
      <c r="JT13" s="15"/>
      <c r="JU13" s="15"/>
      <c r="JV13" s="15"/>
      <c r="JW13" s="15"/>
      <c r="JX13" s="15"/>
      <c r="JY13" s="15"/>
      <c r="JZ13" s="15"/>
      <c r="KA13" s="15"/>
      <c r="KB13" s="15"/>
      <c r="KC13" s="15"/>
      <c r="KD13" s="15"/>
      <c r="KE13" s="15"/>
      <c r="KF13" s="15"/>
      <c r="KG13" s="15"/>
      <c r="KH13" s="15"/>
      <c r="KI13" s="15"/>
      <c r="KJ13" s="15"/>
      <c r="KK13" s="15"/>
      <c r="KL13" s="15"/>
      <c r="KM13" s="15"/>
      <c r="KN13" s="15"/>
      <c r="KO13" s="15"/>
      <c r="KP13" s="15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5"/>
      <c r="LY13" s="15"/>
      <c r="LZ13" s="15"/>
      <c r="MA13" s="15"/>
      <c r="MB13" s="15"/>
      <c r="MC13" s="15"/>
      <c r="MD13" s="15"/>
      <c r="ME13" s="15"/>
      <c r="MF13" s="15"/>
      <c r="MG13" s="15"/>
      <c r="MH13" s="15"/>
      <c r="MI13" s="15"/>
      <c r="MJ13" s="15"/>
      <c r="MK13" s="15"/>
      <c r="ML13" s="15"/>
      <c r="MM13" s="15"/>
      <c r="MN13" s="15"/>
      <c r="MO13" s="15"/>
      <c r="MP13" s="15"/>
      <c r="MQ13" s="15"/>
      <c r="MR13" s="15"/>
      <c r="MS13" s="15"/>
      <c r="MT13" s="15"/>
      <c r="MU13" s="15"/>
      <c r="MV13" s="15"/>
      <c r="MW13" s="15"/>
      <c r="MX13" s="15"/>
      <c r="MY13" s="15"/>
      <c r="MZ13" s="15"/>
      <c r="NA13" s="15"/>
      <c r="NB13" s="15"/>
      <c r="NC13" s="15"/>
      <c r="ND13" s="15"/>
      <c r="NE13" s="15"/>
      <c r="NF13" s="15"/>
      <c r="NG13" s="15"/>
    </row>
    <row r="14" spans="1:371" ht="15.75" customHeight="1">
      <c r="A14" s="15"/>
      <c r="B14" s="15"/>
      <c r="C14" s="291"/>
      <c r="D14" s="291"/>
      <c r="E14" s="108"/>
      <c r="F14" s="109" t="s">
        <v>779</v>
      </c>
      <c r="G14" s="109" t="s">
        <v>154</v>
      </c>
      <c r="H14" s="108"/>
      <c r="I14" s="109" t="s">
        <v>780</v>
      </c>
      <c r="J14" s="110" t="e">
        <f t="shared" ca="1" si="0"/>
        <v>#NAME?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</row>
    <row r="15" spans="1:371" ht="15.75" customHeight="1">
      <c r="A15" s="15"/>
      <c r="B15" s="15"/>
      <c r="C15" s="283"/>
      <c r="D15" s="283"/>
      <c r="E15" s="108"/>
      <c r="F15" s="109" t="s">
        <v>781</v>
      </c>
      <c r="G15" s="109" t="s">
        <v>782</v>
      </c>
      <c r="H15" s="108"/>
      <c r="I15" s="109" t="s">
        <v>783</v>
      </c>
      <c r="J15" s="110" t="e">
        <f t="shared" ca="1" si="0"/>
        <v>#NAME?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  <c r="JV15" s="15"/>
      <c r="JW15" s="15"/>
      <c r="JX15" s="15"/>
      <c r="JY15" s="15"/>
      <c r="JZ15" s="15"/>
      <c r="KA15" s="15"/>
      <c r="KB15" s="15"/>
      <c r="KC15" s="15"/>
      <c r="KD15" s="15"/>
      <c r="KE15" s="15"/>
      <c r="KF15" s="15"/>
      <c r="KG15" s="15"/>
      <c r="KH15" s="15"/>
      <c r="KI15" s="15"/>
      <c r="KJ15" s="15"/>
      <c r="KK15" s="15"/>
      <c r="KL15" s="15"/>
      <c r="KM15" s="15"/>
      <c r="KN15" s="15"/>
      <c r="KO15" s="15"/>
      <c r="KP15" s="15"/>
      <c r="KQ15" s="15"/>
      <c r="KR15" s="15"/>
      <c r="KS15" s="15"/>
      <c r="KT15" s="15"/>
      <c r="KU15" s="15"/>
      <c r="KV15" s="15"/>
      <c r="KW15" s="15"/>
      <c r="KX15" s="15"/>
      <c r="KY15" s="15"/>
      <c r="KZ15" s="15"/>
      <c r="LA15" s="15"/>
      <c r="LB15" s="15"/>
      <c r="LC15" s="15"/>
      <c r="LD15" s="15"/>
      <c r="LE15" s="15"/>
      <c r="LF15" s="15"/>
      <c r="LG15" s="15"/>
      <c r="LH15" s="15"/>
      <c r="LI15" s="15"/>
      <c r="LJ15" s="15"/>
      <c r="LK15" s="15"/>
      <c r="LL15" s="15"/>
      <c r="LM15" s="15"/>
      <c r="LN15" s="15"/>
      <c r="LO15" s="15"/>
      <c r="LP15" s="15"/>
      <c r="LQ15" s="15"/>
      <c r="LR15" s="15"/>
      <c r="LS15" s="15"/>
      <c r="LT15" s="15"/>
      <c r="LU15" s="15"/>
      <c r="LV15" s="15"/>
      <c r="LW15" s="15"/>
      <c r="LX15" s="15"/>
      <c r="LY15" s="15"/>
      <c r="LZ15" s="15"/>
      <c r="MA15" s="15"/>
      <c r="MB15" s="15"/>
      <c r="MC15" s="15"/>
      <c r="MD15" s="15"/>
      <c r="ME15" s="15"/>
      <c r="MF15" s="15"/>
      <c r="MG15" s="15"/>
      <c r="MH15" s="15"/>
      <c r="MI15" s="15"/>
      <c r="MJ15" s="15"/>
      <c r="MK15" s="15"/>
      <c r="ML15" s="15"/>
      <c r="MM15" s="15"/>
      <c r="MN15" s="15"/>
      <c r="MO15" s="15"/>
      <c r="MP15" s="15"/>
      <c r="MQ15" s="15"/>
      <c r="MR15" s="15"/>
      <c r="MS15" s="15"/>
      <c r="MT15" s="15"/>
      <c r="MU15" s="15"/>
      <c r="MV15" s="15"/>
      <c r="MW15" s="15"/>
      <c r="MX15" s="15"/>
      <c r="MY15" s="15"/>
      <c r="MZ15" s="15"/>
      <c r="NA15" s="15"/>
      <c r="NB15" s="15"/>
      <c r="NC15" s="15"/>
      <c r="ND15" s="15"/>
      <c r="NE15" s="15"/>
      <c r="NF15" s="15"/>
      <c r="NG15" s="15"/>
    </row>
    <row r="16" spans="1:371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  <c r="IX16" s="15"/>
      <c r="IY16" s="15"/>
      <c r="IZ16" s="15"/>
      <c r="JA16" s="15"/>
      <c r="JB16" s="15"/>
      <c r="JC16" s="15"/>
      <c r="JD16" s="15"/>
      <c r="JE16" s="15"/>
      <c r="JF16" s="15"/>
      <c r="JG16" s="15"/>
      <c r="JH16" s="15"/>
      <c r="JI16" s="15"/>
      <c r="JJ16" s="15"/>
      <c r="JK16" s="15"/>
      <c r="JL16" s="15"/>
      <c r="JM16" s="15"/>
      <c r="JN16" s="15"/>
      <c r="JO16" s="15"/>
      <c r="JP16" s="15"/>
      <c r="JQ16" s="15"/>
      <c r="JR16" s="15"/>
      <c r="JS16" s="15"/>
      <c r="JT16" s="15"/>
      <c r="JU16" s="15"/>
      <c r="JV16" s="15"/>
      <c r="JW16" s="15"/>
      <c r="JX16" s="15"/>
      <c r="JY16" s="15"/>
      <c r="JZ16" s="15"/>
      <c r="KA16" s="15"/>
      <c r="KB16" s="15"/>
      <c r="KC16" s="15"/>
      <c r="KD16" s="15"/>
      <c r="KE16" s="15"/>
      <c r="KF16" s="15"/>
      <c r="KG16" s="15"/>
      <c r="KH16" s="15"/>
      <c r="KI16" s="15"/>
      <c r="KJ16" s="15"/>
      <c r="KK16" s="15"/>
      <c r="KL16" s="15"/>
      <c r="KM16" s="15"/>
      <c r="KN16" s="15"/>
      <c r="KO16" s="15"/>
      <c r="KP16" s="15"/>
      <c r="KQ16" s="15"/>
      <c r="KR16" s="15"/>
      <c r="KS16" s="15"/>
      <c r="KT16" s="15"/>
      <c r="KU16" s="15"/>
      <c r="KV16" s="15"/>
      <c r="KW16" s="15"/>
      <c r="KX16" s="15"/>
      <c r="KY16" s="15"/>
      <c r="KZ16" s="15"/>
      <c r="LA16" s="15"/>
      <c r="LB16" s="15"/>
      <c r="LC16" s="15"/>
      <c r="LD16" s="15"/>
      <c r="LE16" s="15"/>
      <c r="LF16" s="15"/>
      <c r="LG16" s="15"/>
      <c r="LH16" s="15"/>
      <c r="LI16" s="15"/>
      <c r="LJ16" s="15"/>
      <c r="LK16" s="15"/>
      <c r="LL16" s="15"/>
      <c r="LM16" s="15"/>
      <c r="LN16" s="15"/>
      <c r="LO16" s="15"/>
      <c r="LP16" s="15"/>
      <c r="LQ16" s="15"/>
      <c r="LR16" s="15"/>
      <c r="LS16" s="15"/>
      <c r="LT16" s="15"/>
      <c r="LU16" s="15"/>
      <c r="LV16" s="15"/>
      <c r="LW16" s="15"/>
      <c r="LX16" s="15"/>
      <c r="LY16" s="15"/>
      <c r="LZ16" s="15"/>
      <c r="MA16" s="15"/>
      <c r="MB16" s="15"/>
      <c r="MC16" s="15"/>
      <c r="MD16" s="15"/>
      <c r="ME16" s="15"/>
      <c r="MF16" s="15"/>
      <c r="MG16" s="15"/>
      <c r="MH16" s="15"/>
      <c r="MI16" s="15"/>
      <c r="MJ16" s="15"/>
      <c r="MK16" s="15"/>
      <c r="ML16" s="15"/>
      <c r="MM16" s="15"/>
      <c r="MN16" s="15"/>
      <c r="MO16" s="15"/>
      <c r="MP16" s="15"/>
      <c r="MQ16" s="15"/>
      <c r="MR16" s="15"/>
      <c r="MS16" s="15"/>
      <c r="MT16" s="15"/>
      <c r="MU16" s="15"/>
      <c r="MV16" s="15"/>
      <c r="MW16" s="15"/>
      <c r="MX16" s="15"/>
      <c r="MY16" s="15"/>
      <c r="MZ16" s="15"/>
      <c r="NA16" s="15"/>
      <c r="NB16" s="15"/>
      <c r="NC16" s="15"/>
      <c r="ND16" s="15"/>
      <c r="NE16" s="15"/>
      <c r="NF16" s="15"/>
      <c r="NG16" s="15"/>
    </row>
    <row r="17" spans="1:371" ht="15.75" customHeight="1">
      <c r="A17" s="15"/>
      <c r="B17" s="15"/>
      <c r="C17" s="290">
        <v>3</v>
      </c>
      <c r="D17" s="290" t="s">
        <v>6</v>
      </c>
      <c r="E17" s="108"/>
      <c r="F17" s="109" t="s">
        <v>784</v>
      </c>
      <c r="G17" s="108"/>
      <c r="H17" s="108"/>
      <c r="I17" s="108"/>
      <c r="J17" s="108" t="str">
        <f t="shared" ref="J17:J20" si="1">CLEAN(F17)</f>
        <v>Sagar Wasnik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  <c r="IX17" s="15"/>
      <c r="IY17" s="15"/>
      <c r="IZ17" s="15"/>
      <c r="JA17" s="15"/>
      <c r="JB17" s="15"/>
      <c r="JC17" s="15"/>
      <c r="JD17" s="15"/>
      <c r="JE17" s="15"/>
      <c r="JF17" s="15"/>
      <c r="JG17" s="15"/>
      <c r="JH17" s="15"/>
      <c r="JI17" s="15"/>
      <c r="JJ17" s="15"/>
      <c r="JK17" s="15"/>
      <c r="JL17" s="15"/>
      <c r="JM17" s="15"/>
      <c r="JN17" s="15"/>
      <c r="JO17" s="15"/>
      <c r="JP17" s="15"/>
      <c r="JQ17" s="15"/>
      <c r="JR17" s="15"/>
      <c r="JS17" s="15"/>
      <c r="JT17" s="15"/>
      <c r="JU17" s="15"/>
      <c r="JV17" s="15"/>
      <c r="JW17" s="15"/>
      <c r="JX17" s="15"/>
      <c r="JY17" s="15"/>
      <c r="JZ17" s="15"/>
      <c r="KA17" s="15"/>
      <c r="KB17" s="15"/>
      <c r="KC17" s="15"/>
      <c r="KD17" s="15"/>
      <c r="KE17" s="15"/>
      <c r="KF17" s="15"/>
      <c r="KG17" s="15"/>
      <c r="KH17" s="15"/>
      <c r="KI17" s="15"/>
      <c r="KJ17" s="15"/>
      <c r="KK17" s="15"/>
      <c r="KL17" s="15"/>
      <c r="KM17" s="15"/>
      <c r="KN17" s="15"/>
      <c r="KO17" s="15"/>
      <c r="KP17" s="15"/>
      <c r="KQ17" s="15"/>
      <c r="KR17" s="15"/>
      <c r="KS17" s="15"/>
      <c r="KT17" s="15"/>
      <c r="KU17" s="15"/>
      <c r="KV17" s="15"/>
      <c r="KW17" s="15"/>
      <c r="KX17" s="15"/>
      <c r="KY17" s="15"/>
      <c r="KZ17" s="15"/>
      <c r="LA17" s="15"/>
      <c r="LB17" s="15"/>
      <c r="LC17" s="15"/>
      <c r="LD17" s="15"/>
      <c r="LE17" s="15"/>
      <c r="LF17" s="15"/>
      <c r="LG17" s="15"/>
      <c r="LH17" s="15"/>
      <c r="LI17" s="15"/>
      <c r="LJ17" s="15"/>
      <c r="LK17" s="15"/>
      <c r="LL17" s="15"/>
      <c r="LM17" s="15"/>
      <c r="LN17" s="15"/>
      <c r="LO17" s="15"/>
      <c r="LP17" s="15"/>
      <c r="LQ17" s="15"/>
      <c r="LR17" s="15"/>
      <c r="LS17" s="15"/>
      <c r="LT17" s="15"/>
      <c r="LU17" s="15"/>
      <c r="LV17" s="15"/>
      <c r="LW17" s="15"/>
      <c r="LX17" s="15"/>
      <c r="LY17" s="15"/>
      <c r="LZ17" s="15"/>
      <c r="MA17" s="15"/>
      <c r="MB17" s="15"/>
      <c r="MC17" s="15"/>
      <c r="MD17" s="15"/>
      <c r="ME17" s="15"/>
      <c r="MF17" s="15"/>
      <c r="MG17" s="15"/>
      <c r="MH17" s="15"/>
      <c r="MI17" s="15"/>
      <c r="MJ17" s="15"/>
      <c r="MK17" s="15"/>
      <c r="ML17" s="15"/>
      <c r="MM17" s="15"/>
      <c r="MN17" s="15"/>
      <c r="MO17" s="15"/>
      <c r="MP17" s="15"/>
      <c r="MQ17" s="15"/>
      <c r="MR17" s="15"/>
      <c r="MS17" s="15"/>
      <c r="MT17" s="15"/>
      <c r="MU17" s="15"/>
      <c r="MV17" s="15"/>
      <c r="MW17" s="15"/>
      <c r="MX17" s="15"/>
      <c r="MY17" s="15"/>
      <c r="MZ17" s="15"/>
      <c r="NA17" s="15"/>
      <c r="NB17" s="15"/>
      <c r="NC17" s="15"/>
      <c r="ND17" s="15"/>
      <c r="NE17" s="15"/>
      <c r="NF17" s="15"/>
      <c r="NG17" s="15"/>
    </row>
    <row r="18" spans="1:371" ht="15.75" customHeight="1">
      <c r="A18" s="15"/>
      <c r="B18" s="15"/>
      <c r="C18" s="291"/>
      <c r="D18" s="291"/>
      <c r="E18" s="108"/>
      <c r="F18" s="109" t="s">
        <v>785</v>
      </c>
      <c r="G18" s="108"/>
      <c r="H18" s="109"/>
      <c r="I18" s="108"/>
      <c r="J18" s="108" t="str">
        <f t="shared" si="1"/>
        <v>Khushi -Ramteke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  <c r="IX18" s="15"/>
      <c r="IY18" s="15"/>
      <c r="IZ18" s="15"/>
      <c r="JA18" s="15"/>
      <c r="JB18" s="15"/>
      <c r="JC18" s="15"/>
      <c r="JD18" s="15"/>
      <c r="JE18" s="15"/>
      <c r="JF18" s="15"/>
      <c r="JG18" s="15"/>
      <c r="JH18" s="15"/>
      <c r="JI18" s="15"/>
      <c r="JJ18" s="15"/>
      <c r="JK18" s="15"/>
      <c r="JL18" s="15"/>
      <c r="JM18" s="15"/>
      <c r="JN18" s="15"/>
      <c r="JO18" s="15"/>
      <c r="JP18" s="15"/>
      <c r="JQ18" s="15"/>
      <c r="JR18" s="15"/>
      <c r="JS18" s="15"/>
      <c r="JT18" s="15"/>
      <c r="JU18" s="15"/>
      <c r="JV18" s="15"/>
      <c r="JW18" s="15"/>
      <c r="JX18" s="15"/>
      <c r="JY18" s="15"/>
      <c r="JZ18" s="15"/>
      <c r="KA18" s="15"/>
      <c r="KB18" s="15"/>
      <c r="KC18" s="15"/>
      <c r="KD18" s="15"/>
      <c r="KE18" s="15"/>
      <c r="KF18" s="15"/>
      <c r="KG18" s="15"/>
      <c r="KH18" s="15"/>
      <c r="KI18" s="15"/>
      <c r="KJ18" s="15"/>
      <c r="KK18" s="15"/>
      <c r="KL18" s="15"/>
      <c r="KM18" s="15"/>
      <c r="KN18" s="15"/>
      <c r="KO18" s="15"/>
      <c r="KP18" s="15"/>
      <c r="KQ18" s="15"/>
      <c r="KR18" s="15"/>
      <c r="KS18" s="15"/>
      <c r="KT18" s="15"/>
      <c r="KU18" s="15"/>
      <c r="KV18" s="15"/>
      <c r="KW18" s="15"/>
      <c r="KX18" s="15"/>
      <c r="KY18" s="15"/>
      <c r="KZ18" s="15"/>
      <c r="LA18" s="15"/>
      <c r="LB18" s="15"/>
      <c r="LC18" s="15"/>
      <c r="LD18" s="15"/>
      <c r="LE18" s="15"/>
      <c r="LF18" s="15"/>
      <c r="LG18" s="15"/>
      <c r="LH18" s="15"/>
      <c r="LI18" s="15"/>
      <c r="LJ18" s="15"/>
      <c r="LK18" s="15"/>
      <c r="LL18" s="15"/>
      <c r="LM18" s="15"/>
      <c r="LN18" s="15"/>
      <c r="LO18" s="15"/>
      <c r="LP18" s="15"/>
      <c r="LQ18" s="15"/>
      <c r="LR18" s="15"/>
      <c r="LS18" s="15"/>
      <c r="LT18" s="15"/>
      <c r="LU18" s="15"/>
      <c r="LV18" s="15"/>
      <c r="LW18" s="15"/>
      <c r="LX18" s="15"/>
      <c r="LY18" s="15"/>
      <c r="LZ18" s="15"/>
      <c r="MA18" s="15"/>
      <c r="MB18" s="15"/>
      <c r="MC18" s="15"/>
      <c r="MD18" s="15"/>
      <c r="ME18" s="15"/>
      <c r="MF18" s="15"/>
      <c r="MG18" s="15"/>
      <c r="MH18" s="15"/>
      <c r="MI18" s="15"/>
      <c r="MJ18" s="15"/>
      <c r="MK18" s="15"/>
      <c r="ML18" s="15"/>
      <c r="MM18" s="15"/>
      <c r="MN18" s="15"/>
      <c r="MO18" s="15"/>
      <c r="MP18" s="15"/>
      <c r="MQ18" s="15"/>
      <c r="MR18" s="15"/>
      <c r="MS18" s="15"/>
      <c r="MT18" s="15"/>
      <c r="MU18" s="15"/>
      <c r="MV18" s="15"/>
      <c r="MW18" s="15"/>
      <c r="MX18" s="15"/>
      <c r="MY18" s="15"/>
      <c r="MZ18" s="15"/>
      <c r="NA18" s="15"/>
      <c r="NB18" s="15"/>
      <c r="NC18" s="15"/>
      <c r="ND18" s="15"/>
      <c r="NE18" s="15"/>
      <c r="NF18" s="15"/>
      <c r="NG18" s="15"/>
    </row>
    <row r="19" spans="1:371" ht="15.75" customHeight="1">
      <c r="A19" s="15"/>
      <c r="B19" s="15"/>
      <c r="C19" s="291"/>
      <c r="D19" s="291"/>
      <c r="E19" s="108"/>
      <c r="F19" s="109" t="s">
        <v>786</v>
      </c>
      <c r="G19" s="108"/>
      <c r="H19" s="108"/>
      <c r="I19" s="108"/>
      <c r="J19" s="108" t="str">
        <f t="shared" si="1"/>
        <v>Savlon Khan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  <c r="IX19" s="15"/>
      <c r="IY19" s="15"/>
      <c r="IZ19" s="15"/>
      <c r="JA19" s="15"/>
      <c r="JB19" s="15"/>
      <c r="JC19" s="15"/>
      <c r="JD19" s="15"/>
      <c r="JE19" s="15"/>
      <c r="JF19" s="15"/>
      <c r="JG19" s="15"/>
      <c r="JH19" s="15"/>
      <c r="JI19" s="15"/>
      <c r="JJ19" s="15"/>
      <c r="JK19" s="15"/>
      <c r="JL19" s="15"/>
      <c r="JM19" s="15"/>
      <c r="JN19" s="15"/>
      <c r="JO19" s="15"/>
      <c r="JP19" s="15"/>
      <c r="JQ19" s="15"/>
      <c r="JR19" s="15"/>
      <c r="JS19" s="15"/>
      <c r="JT19" s="15"/>
      <c r="JU19" s="15"/>
      <c r="JV19" s="15"/>
      <c r="JW19" s="15"/>
      <c r="JX19" s="15"/>
      <c r="JY19" s="15"/>
      <c r="JZ19" s="15"/>
      <c r="KA19" s="15"/>
      <c r="KB19" s="15"/>
      <c r="KC19" s="15"/>
      <c r="KD19" s="15"/>
      <c r="KE19" s="15"/>
      <c r="KF19" s="15"/>
      <c r="KG19" s="15"/>
      <c r="KH19" s="15"/>
      <c r="KI19" s="15"/>
      <c r="KJ19" s="15"/>
      <c r="KK19" s="15"/>
      <c r="KL19" s="15"/>
      <c r="KM19" s="15"/>
      <c r="KN19" s="15"/>
      <c r="KO19" s="15"/>
      <c r="KP19" s="15"/>
      <c r="KQ19" s="15"/>
      <c r="KR19" s="15"/>
      <c r="KS19" s="15"/>
      <c r="KT19" s="15"/>
      <c r="KU19" s="15"/>
      <c r="KV19" s="15"/>
      <c r="KW19" s="15"/>
      <c r="KX19" s="15"/>
      <c r="KY19" s="15"/>
      <c r="KZ19" s="15"/>
      <c r="LA19" s="15"/>
      <c r="LB19" s="15"/>
      <c r="LC19" s="15"/>
      <c r="LD19" s="15"/>
      <c r="LE19" s="15"/>
      <c r="LF19" s="15"/>
      <c r="LG19" s="15"/>
      <c r="LH19" s="15"/>
      <c r="LI19" s="15"/>
      <c r="LJ19" s="15"/>
      <c r="LK19" s="15"/>
      <c r="LL19" s="15"/>
      <c r="LM19" s="15"/>
      <c r="LN19" s="15"/>
      <c r="LO19" s="15"/>
      <c r="LP19" s="15"/>
      <c r="LQ19" s="15"/>
      <c r="LR19" s="15"/>
      <c r="LS19" s="15"/>
      <c r="LT19" s="15"/>
      <c r="LU19" s="15"/>
      <c r="LV19" s="15"/>
      <c r="LW19" s="15"/>
      <c r="LX19" s="15"/>
      <c r="LY19" s="15"/>
      <c r="LZ19" s="15"/>
      <c r="MA19" s="15"/>
      <c r="MB19" s="15"/>
      <c r="MC19" s="15"/>
      <c r="MD19" s="15"/>
      <c r="ME19" s="15"/>
      <c r="MF19" s="15"/>
      <c r="MG19" s="15"/>
      <c r="MH19" s="15"/>
      <c r="MI19" s="15"/>
      <c r="MJ19" s="15"/>
      <c r="MK19" s="15"/>
      <c r="ML19" s="15"/>
      <c r="MM19" s="15"/>
      <c r="MN19" s="15"/>
      <c r="MO19" s="15"/>
      <c r="MP19" s="15"/>
      <c r="MQ19" s="15"/>
      <c r="MR19" s="15"/>
      <c r="MS19" s="15"/>
      <c r="MT19" s="15"/>
      <c r="MU19" s="15"/>
      <c r="MV19" s="15"/>
      <c r="MW19" s="15"/>
      <c r="MX19" s="15"/>
      <c r="MY19" s="15"/>
      <c r="MZ19" s="15"/>
      <c r="NA19" s="15"/>
      <c r="NB19" s="15"/>
      <c r="NC19" s="15"/>
      <c r="ND19" s="15"/>
      <c r="NE19" s="15"/>
      <c r="NF19" s="15"/>
      <c r="NG19" s="15"/>
    </row>
    <row r="20" spans="1:371" ht="15.75" customHeight="1">
      <c r="A20" s="15"/>
      <c r="B20" s="15"/>
      <c r="C20" s="283"/>
      <c r="D20" s="283"/>
      <c r="E20" s="108"/>
      <c r="F20" s="109" t="s">
        <v>787</v>
      </c>
      <c r="G20" s="108"/>
      <c r="H20" s="108"/>
      <c r="I20" s="108"/>
      <c r="J20" s="108" t="str">
        <f t="shared" si="1"/>
        <v>Amresh Puri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</row>
    <row r="21" spans="1:371" ht="15.75" customHeight="1">
      <c r="A21" s="15"/>
      <c r="B21" s="15"/>
      <c r="C21" s="111"/>
      <c r="D21" s="111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  <c r="IX21" s="15"/>
      <c r="IY21" s="15"/>
      <c r="IZ21" s="15"/>
      <c r="JA21" s="15"/>
      <c r="JB21" s="15"/>
      <c r="JC21" s="15"/>
      <c r="JD21" s="15"/>
      <c r="JE21" s="15"/>
      <c r="JF21" s="15"/>
      <c r="JG21" s="15"/>
      <c r="JH21" s="15"/>
      <c r="JI21" s="15"/>
      <c r="JJ21" s="15"/>
      <c r="JK21" s="15"/>
      <c r="JL21" s="15"/>
      <c r="JM21" s="15"/>
      <c r="JN21" s="15"/>
      <c r="JO21" s="15"/>
      <c r="JP21" s="15"/>
      <c r="JQ21" s="15"/>
      <c r="JR21" s="15"/>
      <c r="JS21" s="15"/>
      <c r="JT21" s="15"/>
      <c r="JU21" s="15"/>
      <c r="JV21" s="15"/>
      <c r="JW21" s="15"/>
      <c r="JX21" s="15"/>
      <c r="JY21" s="15"/>
      <c r="JZ21" s="15"/>
      <c r="KA21" s="15"/>
      <c r="KB21" s="15"/>
      <c r="KC21" s="15"/>
      <c r="KD21" s="15"/>
      <c r="KE21" s="15"/>
      <c r="KF21" s="15"/>
      <c r="KG21" s="15"/>
      <c r="KH21" s="15"/>
      <c r="KI21" s="15"/>
      <c r="KJ21" s="15"/>
      <c r="KK21" s="15"/>
      <c r="KL21" s="15"/>
      <c r="KM21" s="15"/>
      <c r="KN21" s="15"/>
      <c r="KO21" s="15"/>
      <c r="KP21" s="15"/>
      <c r="KQ21" s="15"/>
      <c r="KR21" s="15"/>
      <c r="KS21" s="15"/>
      <c r="KT21" s="15"/>
      <c r="KU21" s="15"/>
      <c r="KV21" s="15"/>
      <c r="KW21" s="15"/>
      <c r="KX21" s="15"/>
      <c r="KY21" s="15"/>
      <c r="KZ21" s="15"/>
      <c r="LA21" s="15"/>
      <c r="LB21" s="15"/>
      <c r="LC21" s="15"/>
      <c r="LD21" s="15"/>
      <c r="LE21" s="15"/>
      <c r="LF21" s="15"/>
      <c r="LG21" s="15"/>
      <c r="LH21" s="15"/>
      <c r="LI21" s="15"/>
      <c r="LJ21" s="15"/>
      <c r="LK21" s="15"/>
      <c r="LL21" s="15"/>
      <c r="LM21" s="15"/>
      <c r="LN21" s="15"/>
      <c r="LO21" s="15"/>
      <c r="LP21" s="15"/>
      <c r="LQ21" s="15"/>
      <c r="LR21" s="15"/>
      <c r="LS21" s="15"/>
      <c r="LT21" s="15"/>
      <c r="LU21" s="15"/>
      <c r="LV21" s="15"/>
      <c r="LW21" s="15"/>
      <c r="LX21" s="15"/>
      <c r="LY21" s="15"/>
      <c r="LZ21" s="15"/>
      <c r="MA21" s="15"/>
      <c r="MB21" s="15"/>
      <c r="MC21" s="15"/>
      <c r="MD21" s="15"/>
      <c r="ME21" s="15"/>
      <c r="MF21" s="15"/>
      <c r="MG21" s="15"/>
      <c r="MH21" s="15"/>
      <c r="MI21" s="15"/>
      <c r="MJ21" s="15"/>
      <c r="MK21" s="15"/>
      <c r="ML21" s="15"/>
      <c r="MM21" s="15"/>
      <c r="MN21" s="15"/>
      <c r="MO21" s="15"/>
      <c r="MP21" s="15"/>
      <c r="MQ21" s="15"/>
      <c r="MR21" s="15"/>
      <c r="MS21" s="15"/>
      <c r="MT21" s="15"/>
      <c r="MU21" s="15"/>
      <c r="MV21" s="15"/>
      <c r="MW21" s="15"/>
      <c r="MX21" s="15"/>
      <c r="MY21" s="15"/>
      <c r="MZ21" s="15"/>
      <c r="NA21" s="15"/>
      <c r="NB21" s="15"/>
      <c r="NC21" s="15"/>
      <c r="ND21" s="15"/>
      <c r="NE21" s="15"/>
      <c r="NF21" s="15"/>
      <c r="NG21" s="15"/>
    </row>
    <row r="22" spans="1:371" ht="15.75" customHeight="1">
      <c r="A22" s="15"/>
      <c r="B22" s="15"/>
      <c r="C22" s="290">
        <v>4</v>
      </c>
      <c r="D22" s="290" t="s">
        <v>44</v>
      </c>
      <c r="E22" s="108"/>
      <c r="F22" s="109" t="s">
        <v>788</v>
      </c>
      <c r="G22" s="109" t="s">
        <v>789</v>
      </c>
      <c r="H22" s="108"/>
      <c r="I22" s="109" t="s">
        <v>790</v>
      </c>
      <c r="J22" s="112" t="b">
        <f t="shared" ref="J22:J26" si="2">EXACT(F22,G22)</f>
        <v>0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  <c r="IX22" s="15"/>
      <c r="IY22" s="15"/>
      <c r="IZ22" s="15"/>
      <c r="JA22" s="15"/>
      <c r="JB22" s="15"/>
      <c r="JC22" s="15"/>
      <c r="JD22" s="15"/>
      <c r="JE22" s="15"/>
      <c r="JF22" s="15"/>
      <c r="JG22" s="15"/>
      <c r="JH22" s="15"/>
      <c r="JI22" s="15"/>
      <c r="JJ22" s="15"/>
      <c r="JK22" s="15"/>
      <c r="JL22" s="15"/>
      <c r="JM22" s="15"/>
      <c r="JN22" s="15"/>
      <c r="JO22" s="15"/>
      <c r="JP22" s="15"/>
      <c r="JQ22" s="15"/>
      <c r="JR22" s="15"/>
      <c r="JS22" s="15"/>
      <c r="JT22" s="15"/>
      <c r="JU22" s="15"/>
      <c r="JV22" s="15"/>
      <c r="JW22" s="15"/>
      <c r="JX22" s="15"/>
      <c r="JY22" s="15"/>
      <c r="JZ22" s="15"/>
      <c r="KA22" s="15"/>
      <c r="KB22" s="15"/>
      <c r="KC22" s="15"/>
      <c r="KD22" s="15"/>
      <c r="KE22" s="15"/>
      <c r="KF22" s="15"/>
      <c r="KG22" s="15"/>
      <c r="KH22" s="15"/>
      <c r="KI22" s="15"/>
      <c r="KJ22" s="15"/>
      <c r="KK22" s="15"/>
      <c r="KL22" s="15"/>
      <c r="KM22" s="15"/>
      <c r="KN22" s="15"/>
      <c r="KO22" s="15"/>
      <c r="KP22" s="15"/>
      <c r="KQ22" s="15"/>
      <c r="KR22" s="15"/>
      <c r="KS22" s="15"/>
      <c r="KT22" s="15"/>
      <c r="KU22" s="15"/>
      <c r="KV22" s="15"/>
      <c r="KW22" s="15"/>
      <c r="KX22" s="15"/>
      <c r="KY22" s="15"/>
      <c r="KZ22" s="15"/>
      <c r="LA22" s="15"/>
      <c r="LB22" s="15"/>
      <c r="LC22" s="15"/>
      <c r="LD22" s="15"/>
      <c r="LE22" s="15"/>
      <c r="LF22" s="15"/>
      <c r="LG22" s="15"/>
      <c r="LH22" s="15"/>
      <c r="LI22" s="15"/>
      <c r="LJ22" s="15"/>
      <c r="LK22" s="15"/>
      <c r="LL22" s="15"/>
      <c r="LM22" s="15"/>
      <c r="LN22" s="15"/>
      <c r="LO22" s="15"/>
      <c r="LP22" s="15"/>
      <c r="LQ22" s="15"/>
      <c r="LR22" s="15"/>
      <c r="LS22" s="15"/>
      <c r="LT22" s="15"/>
      <c r="LU22" s="15"/>
      <c r="LV22" s="15"/>
      <c r="LW22" s="15"/>
      <c r="LX22" s="15"/>
      <c r="LY22" s="15"/>
      <c r="LZ22" s="15"/>
      <c r="MA22" s="15"/>
      <c r="MB22" s="15"/>
      <c r="MC22" s="15"/>
      <c r="MD22" s="15"/>
      <c r="ME22" s="15"/>
      <c r="MF22" s="15"/>
      <c r="MG22" s="15"/>
      <c r="MH22" s="15"/>
      <c r="MI22" s="15"/>
      <c r="MJ22" s="15"/>
      <c r="MK22" s="15"/>
      <c r="ML22" s="15"/>
      <c r="MM22" s="15"/>
      <c r="MN22" s="15"/>
      <c r="MO22" s="15"/>
      <c r="MP22" s="15"/>
      <c r="MQ22" s="15"/>
      <c r="MR22" s="15"/>
      <c r="MS22" s="15"/>
      <c r="MT22" s="15"/>
      <c r="MU22" s="15"/>
      <c r="MV22" s="15"/>
      <c r="MW22" s="15"/>
      <c r="MX22" s="15"/>
      <c r="MY22" s="15"/>
      <c r="MZ22" s="15"/>
      <c r="NA22" s="15"/>
      <c r="NB22" s="15"/>
      <c r="NC22" s="15"/>
      <c r="ND22" s="15"/>
      <c r="NE22" s="15"/>
      <c r="NF22" s="15"/>
      <c r="NG22" s="15"/>
    </row>
    <row r="23" spans="1:371" ht="15.75" customHeight="1">
      <c r="A23" s="15"/>
      <c r="B23" s="15"/>
      <c r="C23" s="291"/>
      <c r="D23" s="291"/>
      <c r="E23" s="108"/>
      <c r="F23" s="109" t="s">
        <v>791</v>
      </c>
      <c r="G23" s="109" t="s">
        <v>791</v>
      </c>
      <c r="H23" s="108"/>
      <c r="I23" s="109" t="s">
        <v>792</v>
      </c>
      <c r="J23" s="112" t="b">
        <f t="shared" si="2"/>
        <v>1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</row>
    <row r="24" spans="1:371" ht="14.4">
      <c r="A24" s="15"/>
      <c r="B24" s="15"/>
      <c r="C24" s="291"/>
      <c r="D24" s="291"/>
      <c r="E24" s="108"/>
      <c r="F24" s="109" t="s">
        <v>793</v>
      </c>
      <c r="G24" s="109" t="s">
        <v>794</v>
      </c>
      <c r="H24" s="108"/>
      <c r="I24" s="109" t="s">
        <v>795</v>
      </c>
      <c r="J24" s="112" t="b">
        <f t="shared" si="2"/>
        <v>0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</row>
    <row r="25" spans="1:371" ht="14.4">
      <c r="A25" s="15"/>
      <c r="B25" s="15"/>
      <c r="C25" s="291"/>
      <c r="D25" s="291"/>
      <c r="E25" s="108"/>
      <c r="F25" s="109" t="s">
        <v>796</v>
      </c>
      <c r="G25" s="109" t="s">
        <v>796</v>
      </c>
      <c r="H25" s="108"/>
      <c r="I25" s="109" t="s">
        <v>797</v>
      </c>
      <c r="J25" s="112" t="b">
        <f t="shared" si="2"/>
        <v>1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</row>
    <row r="26" spans="1:371" ht="14.4">
      <c r="A26" s="15"/>
      <c r="B26" s="15"/>
      <c r="C26" s="283"/>
      <c r="D26" s="283"/>
      <c r="E26" s="108"/>
      <c r="F26" s="109" t="s">
        <v>798</v>
      </c>
      <c r="G26" s="109" t="s">
        <v>799</v>
      </c>
      <c r="H26" s="108"/>
      <c r="I26" s="109" t="s">
        <v>800</v>
      </c>
      <c r="J26" s="112" t="b">
        <f t="shared" si="2"/>
        <v>0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</row>
    <row r="27" spans="1:371" ht="14.4">
      <c r="A27" s="15"/>
      <c r="B27" s="15"/>
      <c r="C27" s="111"/>
      <c r="D27" s="111"/>
      <c r="E27" s="15"/>
      <c r="F27" s="113"/>
      <c r="G27" s="113"/>
      <c r="H27" s="15"/>
      <c r="I27" s="113"/>
      <c r="J27" s="113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</row>
    <row r="28" spans="1:371" ht="14.4">
      <c r="A28" s="15"/>
      <c r="B28" s="15"/>
      <c r="C28" s="290">
        <v>6</v>
      </c>
      <c r="D28" s="290" t="s">
        <v>33</v>
      </c>
      <c r="E28" s="108"/>
      <c r="F28" s="109" t="s">
        <v>801</v>
      </c>
      <c r="G28" s="114"/>
      <c r="H28" s="108"/>
      <c r="I28" s="109" t="s">
        <v>802</v>
      </c>
      <c r="J28" s="115">
        <f>FIND("T",F28)</f>
        <v>6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</row>
    <row r="29" spans="1:371" ht="14.4">
      <c r="A29" s="15"/>
      <c r="B29" s="15"/>
      <c r="C29" s="291"/>
      <c r="D29" s="291"/>
      <c r="E29" s="108"/>
      <c r="F29" s="109" t="s">
        <v>803</v>
      </c>
      <c r="G29" s="114"/>
      <c r="H29" s="108"/>
      <c r="I29" s="109" t="s">
        <v>804</v>
      </c>
      <c r="J29" s="115">
        <f>FIND("e",F29)</f>
        <v>2</v>
      </c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/>
      <c r="KH29" s="15"/>
      <c r="KI29" s="15"/>
      <c r="KJ29" s="15"/>
      <c r="KK29" s="15"/>
      <c r="KL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  <c r="KW29" s="15"/>
      <c r="KX29" s="15"/>
      <c r="KY29" s="15"/>
      <c r="KZ29" s="15"/>
      <c r="LA29" s="15"/>
      <c r="LB29" s="15"/>
      <c r="LC29" s="15"/>
      <c r="LD29" s="15"/>
      <c r="LE29" s="15"/>
      <c r="LF29" s="15"/>
      <c r="LG29" s="15"/>
      <c r="LH29" s="15"/>
      <c r="LI29" s="15"/>
      <c r="LJ29" s="15"/>
      <c r="LK29" s="15"/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/>
      <c r="LW29" s="15"/>
      <c r="LX29" s="15"/>
      <c r="LY29" s="15"/>
      <c r="LZ29" s="15"/>
      <c r="MA29" s="15"/>
      <c r="MB29" s="15"/>
      <c r="MC29" s="15"/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</row>
    <row r="30" spans="1:371" ht="14.4">
      <c r="A30" s="15"/>
      <c r="B30" s="15"/>
      <c r="C30" s="291"/>
      <c r="D30" s="291"/>
      <c r="E30" s="108"/>
      <c r="F30" s="109" t="s">
        <v>805</v>
      </c>
      <c r="G30" s="108"/>
      <c r="H30" s="108"/>
      <c r="I30" s="109" t="s">
        <v>806</v>
      </c>
      <c r="J30" s="115">
        <f>FIND("a",F30)</f>
        <v>2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</row>
    <row r="31" spans="1:371" ht="14.4">
      <c r="A31" s="15"/>
      <c r="B31" s="15"/>
      <c r="C31" s="291"/>
      <c r="D31" s="291"/>
      <c r="E31" s="108"/>
      <c r="F31" s="109" t="s">
        <v>807</v>
      </c>
      <c r="G31" s="108"/>
      <c r="H31" s="108"/>
      <c r="I31" s="109" t="s">
        <v>808</v>
      </c>
      <c r="J31" s="115">
        <f>FIND("u",F31)</f>
        <v>3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</row>
    <row r="32" spans="1:371" ht="14.4">
      <c r="A32" s="15"/>
      <c r="B32" s="15"/>
      <c r="C32" s="283"/>
      <c r="D32" s="283"/>
      <c r="E32" s="108"/>
      <c r="F32" s="109" t="s">
        <v>809</v>
      </c>
      <c r="G32" s="108"/>
      <c r="H32" s="108"/>
      <c r="I32" s="109" t="s">
        <v>810</v>
      </c>
      <c r="J32" s="115">
        <f>FIND("e",F32)</f>
        <v>3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</row>
    <row r="33" spans="1:371" ht="14.4">
      <c r="A33" s="15"/>
      <c r="B33" s="15"/>
      <c r="C33" s="15"/>
      <c r="D33" s="15"/>
      <c r="E33" s="15"/>
      <c r="F33" s="113"/>
      <c r="G33" s="15"/>
      <c r="H33" s="15"/>
      <c r="I33" s="113"/>
      <c r="J33" s="113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</row>
    <row r="34" spans="1:371" ht="14.4">
      <c r="A34" s="15"/>
      <c r="B34" s="15"/>
      <c r="C34" s="290">
        <v>7</v>
      </c>
      <c r="D34" s="290" t="s">
        <v>57</v>
      </c>
      <c r="E34" s="108"/>
      <c r="F34" s="109" t="s">
        <v>811</v>
      </c>
      <c r="G34" s="108"/>
      <c r="H34" s="108"/>
      <c r="I34" s="109" t="s">
        <v>812</v>
      </c>
      <c r="J34" s="109" t="str">
        <f>LEFT(F34,3)</f>
        <v>Sao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  <c r="IX34" s="15"/>
      <c r="IY34" s="15"/>
      <c r="IZ34" s="15"/>
      <c r="JA34" s="15"/>
      <c r="JB34" s="15"/>
      <c r="JC34" s="15"/>
      <c r="JD34" s="15"/>
      <c r="JE34" s="15"/>
      <c r="JF34" s="15"/>
      <c r="JG34" s="15"/>
      <c r="JH34" s="15"/>
      <c r="JI34" s="15"/>
      <c r="JJ34" s="15"/>
      <c r="JK34" s="15"/>
      <c r="JL34" s="15"/>
      <c r="JM34" s="15"/>
      <c r="JN34" s="15"/>
      <c r="JO34" s="15"/>
      <c r="JP34" s="15"/>
      <c r="JQ34" s="15"/>
      <c r="JR34" s="15"/>
      <c r="JS34" s="15"/>
      <c r="JT34" s="15"/>
      <c r="JU34" s="15"/>
      <c r="JV34" s="15"/>
      <c r="JW34" s="15"/>
      <c r="JX34" s="15"/>
      <c r="JY34" s="15"/>
      <c r="JZ34" s="15"/>
      <c r="KA34" s="15"/>
      <c r="KB34" s="15"/>
      <c r="KC34" s="15"/>
      <c r="KD34" s="15"/>
      <c r="KE34" s="15"/>
      <c r="KF34" s="15"/>
      <c r="KG34" s="15"/>
      <c r="KH34" s="15"/>
      <c r="KI34" s="15"/>
      <c r="KJ34" s="15"/>
      <c r="KK34" s="15"/>
      <c r="KL34" s="15"/>
      <c r="KM34" s="15"/>
      <c r="KN34" s="15"/>
      <c r="KO34" s="15"/>
      <c r="KP34" s="15"/>
      <c r="KQ34" s="15"/>
      <c r="KR34" s="15"/>
      <c r="KS34" s="15"/>
      <c r="KT34" s="15"/>
      <c r="KU34" s="15"/>
      <c r="KV34" s="15"/>
      <c r="KW34" s="15"/>
      <c r="KX34" s="15"/>
      <c r="KY34" s="15"/>
      <c r="KZ34" s="15"/>
      <c r="LA34" s="15"/>
      <c r="LB34" s="15"/>
      <c r="LC34" s="15"/>
      <c r="LD34" s="15"/>
      <c r="LE34" s="15"/>
      <c r="LF34" s="15"/>
      <c r="LG34" s="15"/>
      <c r="LH34" s="15"/>
      <c r="LI34" s="15"/>
      <c r="LJ34" s="15"/>
      <c r="LK34" s="15"/>
      <c r="LL34" s="15"/>
      <c r="LM34" s="15"/>
      <c r="LN34" s="15"/>
      <c r="LO34" s="15"/>
      <c r="LP34" s="15"/>
      <c r="LQ34" s="15"/>
      <c r="LR34" s="15"/>
      <c r="LS34" s="15"/>
      <c r="LT34" s="15"/>
      <c r="LU34" s="15"/>
      <c r="LV34" s="15"/>
      <c r="LW34" s="15"/>
      <c r="LX34" s="15"/>
      <c r="LY34" s="15"/>
      <c r="LZ34" s="15"/>
      <c r="MA34" s="15"/>
      <c r="MB34" s="15"/>
      <c r="MC34" s="15"/>
      <c r="MD34" s="15"/>
      <c r="ME34" s="15"/>
      <c r="MF34" s="15"/>
      <c r="MG34" s="15"/>
      <c r="MH34" s="15"/>
      <c r="MI34" s="15"/>
      <c r="MJ34" s="15"/>
      <c r="MK34" s="15"/>
      <c r="ML34" s="15"/>
      <c r="MM34" s="15"/>
      <c r="MN34" s="15"/>
      <c r="MO34" s="15"/>
      <c r="MP34" s="15"/>
      <c r="MQ34" s="15"/>
      <c r="MR34" s="15"/>
      <c r="MS34" s="15"/>
      <c r="MT34" s="15"/>
      <c r="MU34" s="15"/>
      <c r="MV34" s="15"/>
      <c r="MW34" s="15"/>
      <c r="MX34" s="15"/>
      <c r="MY34" s="15"/>
      <c r="MZ34" s="15"/>
      <c r="NA34" s="15"/>
      <c r="NB34" s="15"/>
      <c r="NC34" s="15"/>
      <c r="ND34" s="15"/>
      <c r="NE34" s="15"/>
      <c r="NF34" s="15"/>
      <c r="NG34" s="15"/>
    </row>
    <row r="35" spans="1:371" ht="14.4">
      <c r="A35" s="15"/>
      <c r="B35" s="15"/>
      <c r="C35" s="291"/>
      <c r="D35" s="291"/>
      <c r="E35" s="108"/>
      <c r="F35" s="109" t="s">
        <v>549</v>
      </c>
      <c r="G35" s="108"/>
      <c r="H35" s="108"/>
      <c r="I35" s="109" t="s">
        <v>813</v>
      </c>
      <c r="J35" s="109" t="str">
        <f>LEFT(F35,4)</f>
        <v>Exce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  <c r="IX35" s="15"/>
      <c r="IY35" s="15"/>
      <c r="IZ35" s="15"/>
      <c r="JA35" s="15"/>
      <c r="JB35" s="15"/>
      <c r="JC35" s="15"/>
      <c r="JD35" s="15"/>
      <c r="JE35" s="15"/>
      <c r="JF35" s="15"/>
      <c r="JG35" s="15"/>
      <c r="JH35" s="15"/>
      <c r="JI35" s="15"/>
      <c r="JJ35" s="15"/>
      <c r="JK35" s="15"/>
      <c r="JL35" s="15"/>
      <c r="JM35" s="15"/>
      <c r="JN35" s="15"/>
      <c r="JO35" s="15"/>
      <c r="JP35" s="15"/>
      <c r="JQ35" s="15"/>
      <c r="JR35" s="15"/>
      <c r="JS35" s="15"/>
      <c r="JT35" s="15"/>
      <c r="JU35" s="15"/>
      <c r="JV35" s="15"/>
      <c r="JW35" s="15"/>
      <c r="JX35" s="15"/>
      <c r="JY35" s="15"/>
      <c r="JZ35" s="15"/>
      <c r="KA35" s="15"/>
      <c r="KB35" s="15"/>
      <c r="KC35" s="15"/>
      <c r="KD35" s="15"/>
      <c r="KE35" s="15"/>
      <c r="KF35" s="15"/>
      <c r="KG35" s="15"/>
      <c r="KH35" s="15"/>
      <c r="KI35" s="15"/>
      <c r="KJ35" s="15"/>
      <c r="KK35" s="15"/>
      <c r="KL35" s="15"/>
      <c r="KM35" s="15"/>
      <c r="KN35" s="15"/>
      <c r="KO35" s="15"/>
      <c r="KP35" s="15"/>
      <c r="KQ35" s="15"/>
      <c r="KR35" s="15"/>
      <c r="KS35" s="15"/>
      <c r="KT35" s="15"/>
      <c r="KU35" s="15"/>
      <c r="KV35" s="15"/>
      <c r="KW35" s="15"/>
      <c r="KX35" s="15"/>
      <c r="KY35" s="15"/>
      <c r="KZ35" s="15"/>
      <c r="LA35" s="15"/>
      <c r="LB35" s="15"/>
      <c r="LC35" s="15"/>
      <c r="LD35" s="15"/>
      <c r="LE35" s="15"/>
      <c r="LF35" s="15"/>
      <c r="LG35" s="15"/>
      <c r="LH35" s="15"/>
      <c r="LI35" s="15"/>
      <c r="LJ35" s="15"/>
      <c r="LK35" s="15"/>
      <c r="LL35" s="15"/>
      <c r="LM35" s="15"/>
      <c r="LN35" s="15"/>
      <c r="LO35" s="15"/>
      <c r="LP35" s="15"/>
      <c r="LQ35" s="15"/>
      <c r="LR35" s="15"/>
      <c r="LS35" s="15"/>
      <c r="LT35" s="15"/>
      <c r="LU35" s="15"/>
      <c r="LV35" s="15"/>
      <c r="LW35" s="15"/>
      <c r="LX35" s="15"/>
      <c r="LY35" s="15"/>
      <c r="LZ35" s="15"/>
      <c r="MA35" s="15"/>
      <c r="MB35" s="15"/>
      <c r="MC35" s="15"/>
      <c r="MD35" s="15"/>
      <c r="ME35" s="15"/>
      <c r="MF35" s="15"/>
      <c r="MG35" s="15"/>
      <c r="MH35" s="15"/>
      <c r="MI35" s="15"/>
      <c r="MJ35" s="15"/>
      <c r="MK35" s="15"/>
      <c r="ML35" s="15"/>
      <c r="MM35" s="15"/>
      <c r="MN35" s="15"/>
      <c r="MO35" s="15"/>
      <c r="MP35" s="15"/>
      <c r="MQ35" s="15"/>
      <c r="MR35" s="15"/>
      <c r="MS35" s="15"/>
      <c r="MT35" s="15"/>
      <c r="MU35" s="15"/>
      <c r="MV35" s="15"/>
      <c r="MW35" s="15"/>
      <c r="MX35" s="15"/>
      <c r="MY35" s="15"/>
      <c r="MZ35" s="15"/>
      <c r="NA35" s="15"/>
      <c r="NB35" s="15"/>
      <c r="NC35" s="15"/>
      <c r="ND35" s="15"/>
      <c r="NE35" s="15"/>
      <c r="NF35" s="15"/>
      <c r="NG35" s="15"/>
    </row>
    <row r="36" spans="1:371" ht="14.4">
      <c r="A36" s="15"/>
      <c r="B36" s="15"/>
      <c r="C36" s="291"/>
      <c r="D36" s="291"/>
      <c r="E36" s="108"/>
      <c r="F36" s="109" t="s">
        <v>814</v>
      </c>
      <c r="G36" s="108"/>
      <c r="H36" s="108"/>
      <c r="I36" s="109" t="s">
        <v>815</v>
      </c>
      <c r="J36" s="109" t="str">
        <f>LEFT(F36,2)</f>
        <v>Fo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  <c r="IX36" s="15"/>
      <c r="IY36" s="15"/>
      <c r="IZ36" s="15"/>
      <c r="JA36" s="15"/>
      <c r="JB36" s="15"/>
      <c r="JC36" s="15"/>
      <c r="JD36" s="15"/>
      <c r="JE36" s="15"/>
      <c r="JF36" s="15"/>
      <c r="JG36" s="15"/>
      <c r="JH36" s="15"/>
      <c r="JI36" s="15"/>
      <c r="JJ36" s="15"/>
      <c r="JK36" s="15"/>
      <c r="JL36" s="15"/>
      <c r="JM36" s="15"/>
      <c r="JN36" s="15"/>
      <c r="JO36" s="15"/>
      <c r="JP36" s="15"/>
      <c r="JQ36" s="15"/>
      <c r="JR36" s="15"/>
      <c r="JS36" s="15"/>
      <c r="JT36" s="15"/>
      <c r="JU36" s="15"/>
      <c r="JV36" s="15"/>
      <c r="JW36" s="15"/>
      <c r="JX36" s="15"/>
      <c r="JY36" s="15"/>
      <c r="JZ36" s="15"/>
      <c r="KA36" s="15"/>
      <c r="KB36" s="15"/>
      <c r="KC36" s="15"/>
      <c r="KD36" s="15"/>
      <c r="KE36" s="15"/>
      <c r="KF36" s="15"/>
      <c r="KG36" s="15"/>
      <c r="KH36" s="15"/>
      <c r="KI36" s="15"/>
      <c r="KJ36" s="15"/>
      <c r="KK36" s="15"/>
      <c r="KL36" s="15"/>
      <c r="KM36" s="15"/>
      <c r="KN36" s="15"/>
      <c r="KO36" s="15"/>
      <c r="KP36" s="15"/>
      <c r="KQ36" s="15"/>
      <c r="KR36" s="15"/>
      <c r="KS36" s="15"/>
      <c r="KT36" s="15"/>
      <c r="KU36" s="15"/>
      <c r="KV36" s="15"/>
      <c r="KW36" s="15"/>
      <c r="KX36" s="15"/>
      <c r="KY36" s="15"/>
      <c r="KZ36" s="15"/>
      <c r="LA36" s="15"/>
      <c r="LB36" s="15"/>
      <c r="LC36" s="15"/>
      <c r="LD36" s="15"/>
      <c r="LE36" s="15"/>
      <c r="LF36" s="15"/>
      <c r="LG36" s="15"/>
      <c r="LH36" s="15"/>
      <c r="LI36" s="15"/>
      <c r="LJ36" s="15"/>
      <c r="LK36" s="15"/>
      <c r="LL36" s="15"/>
      <c r="LM36" s="15"/>
      <c r="LN36" s="15"/>
      <c r="LO36" s="15"/>
      <c r="LP36" s="15"/>
      <c r="LQ36" s="15"/>
      <c r="LR36" s="15"/>
      <c r="LS36" s="15"/>
      <c r="LT36" s="15"/>
      <c r="LU36" s="15"/>
      <c r="LV36" s="15"/>
      <c r="LW36" s="15"/>
      <c r="LX36" s="15"/>
      <c r="LY36" s="15"/>
      <c r="LZ36" s="15"/>
      <c r="MA36" s="15"/>
      <c r="MB36" s="15"/>
      <c r="MC36" s="15"/>
      <c r="MD36" s="15"/>
      <c r="ME36" s="15"/>
      <c r="MF36" s="15"/>
      <c r="MG36" s="15"/>
      <c r="MH36" s="15"/>
      <c r="MI36" s="15"/>
      <c r="MJ36" s="15"/>
      <c r="MK36" s="15"/>
      <c r="ML36" s="15"/>
      <c r="MM36" s="15"/>
      <c r="MN36" s="15"/>
      <c r="MO36" s="15"/>
      <c r="MP36" s="15"/>
      <c r="MQ36" s="15"/>
      <c r="MR36" s="15"/>
      <c r="MS36" s="15"/>
      <c r="MT36" s="15"/>
      <c r="MU36" s="15"/>
      <c r="MV36" s="15"/>
      <c r="MW36" s="15"/>
      <c r="MX36" s="15"/>
      <c r="MY36" s="15"/>
      <c r="MZ36" s="15"/>
      <c r="NA36" s="15"/>
      <c r="NB36" s="15"/>
      <c r="NC36" s="15"/>
      <c r="ND36" s="15"/>
      <c r="NE36" s="15"/>
      <c r="NF36" s="15"/>
      <c r="NG36" s="15"/>
    </row>
    <row r="37" spans="1:371" ht="14.4">
      <c r="A37" s="15"/>
      <c r="B37" s="15"/>
      <c r="C37" s="291"/>
      <c r="D37" s="291"/>
      <c r="E37" s="108"/>
      <c r="F37" s="109" t="s">
        <v>816</v>
      </c>
      <c r="G37" s="108"/>
      <c r="H37" s="108"/>
      <c r="I37" s="109" t="s">
        <v>817</v>
      </c>
      <c r="J37" s="109" t="str">
        <f>LEFT(F37,3)</f>
        <v>Sho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</row>
    <row r="38" spans="1:371" ht="14.4">
      <c r="A38" s="15"/>
      <c r="B38" s="15"/>
      <c r="C38" s="283"/>
      <c r="D38" s="283"/>
      <c r="E38" s="108"/>
      <c r="F38" s="109" t="s">
        <v>818</v>
      </c>
      <c r="G38" s="108"/>
      <c r="H38" s="108"/>
      <c r="I38" s="109" t="s">
        <v>819</v>
      </c>
      <c r="J38" s="109" t="str">
        <f>LEFT(F38,4)</f>
        <v>P-Tr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  <c r="IX38" s="15"/>
      <c r="IY38" s="15"/>
      <c r="IZ38" s="15"/>
      <c r="JA38" s="15"/>
      <c r="JB38" s="15"/>
      <c r="JC38" s="15"/>
      <c r="JD38" s="15"/>
      <c r="JE38" s="15"/>
      <c r="JF38" s="15"/>
      <c r="JG38" s="15"/>
      <c r="JH38" s="15"/>
      <c r="JI38" s="15"/>
      <c r="JJ38" s="15"/>
      <c r="JK38" s="15"/>
      <c r="JL38" s="15"/>
      <c r="JM38" s="15"/>
      <c r="JN38" s="15"/>
      <c r="JO38" s="15"/>
      <c r="JP38" s="15"/>
      <c r="JQ38" s="15"/>
      <c r="JR38" s="15"/>
      <c r="JS38" s="15"/>
      <c r="JT38" s="15"/>
      <c r="JU38" s="15"/>
      <c r="JV38" s="15"/>
      <c r="JW38" s="15"/>
      <c r="JX38" s="15"/>
      <c r="JY38" s="15"/>
      <c r="JZ38" s="15"/>
      <c r="KA38" s="15"/>
      <c r="KB38" s="15"/>
      <c r="KC38" s="15"/>
      <c r="KD38" s="15"/>
      <c r="KE38" s="15"/>
      <c r="KF38" s="15"/>
      <c r="KG38" s="15"/>
      <c r="KH38" s="15"/>
      <c r="KI38" s="15"/>
      <c r="KJ38" s="15"/>
      <c r="KK38" s="15"/>
      <c r="KL38" s="15"/>
      <c r="KM38" s="15"/>
      <c r="KN38" s="15"/>
      <c r="KO38" s="15"/>
      <c r="KP38" s="15"/>
      <c r="KQ38" s="15"/>
      <c r="KR38" s="15"/>
      <c r="KS38" s="15"/>
      <c r="KT38" s="15"/>
      <c r="KU38" s="15"/>
      <c r="KV38" s="15"/>
      <c r="KW38" s="15"/>
      <c r="KX38" s="15"/>
      <c r="KY38" s="15"/>
      <c r="KZ38" s="15"/>
      <c r="LA38" s="15"/>
      <c r="LB38" s="15"/>
      <c r="LC38" s="15"/>
      <c r="LD38" s="15"/>
      <c r="LE38" s="15"/>
      <c r="LF38" s="15"/>
      <c r="LG38" s="15"/>
      <c r="LH38" s="15"/>
      <c r="LI38" s="15"/>
      <c r="LJ38" s="15"/>
      <c r="LK38" s="15"/>
      <c r="LL38" s="15"/>
      <c r="LM38" s="15"/>
      <c r="LN38" s="15"/>
      <c r="LO38" s="15"/>
      <c r="LP38" s="15"/>
      <c r="LQ38" s="15"/>
      <c r="LR38" s="15"/>
      <c r="LS38" s="15"/>
      <c r="LT38" s="15"/>
      <c r="LU38" s="15"/>
      <c r="LV38" s="15"/>
      <c r="LW38" s="15"/>
      <c r="LX38" s="15"/>
      <c r="LY38" s="15"/>
      <c r="LZ38" s="15"/>
      <c r="MA38" s="15"/>
      <c r="MB38" s="15"/>
      <c r="MC38" s="15"/>
      <c r="MD38" s="15"/>
      <c r="ME38" s="15"/>
      <c r="MF38" s="15"/>
      <c r="MG38" s="15"/>
      <c r="MH38" s="15"/>
      <c r="MI38" s="15"/>
      <c r="MJ38" s="15"/>
      <c r="MK38" s="15"/>
      <c r="ML38" s="15"/>
      <c r="MM38" s="15"/>
      <c r="MN38" s="15"/>
      <c r="MO38" s="15"/>
      <c r="MP38" s="15"/>
      <c r="MQ38" s="15"/>
      <c r="MR38" s="15"/>
      <c r="MS38" s="15"/>
      <c r="MT38" s="15"/>
      <c r="MU38" s="15"/>
      <c r="MV38" s="15"/>
      <c r="MW38" s="15"/>
      <c r="MX38" s="15"/>
      <c r="MY38" s="15"/>
      <c r="MZ38" s="15"/>
      <c r="NA38" s="15"/>
      <c r="NB38" s="15"/>
      <c r="NC38" s="15"/>
      <c r="ND38" s="15"/>
      <c r="NE38" s="15"/>
      <c r="NF38" s="15"/>
      <c r="NG38" s="15"/>
    </row>
    <row r="39" spans="1:371" ht="14.4">
      <c r="A39" s="15"/>
      <c r="B39" s="15"/>
      <c r="C39" s="116"/>
      <c r="D39" s="116"/>
      <c r="E39" s="15"/>
      <c r="F39" s="113"/>
      <c r="G39" s="15"/>
      <c r="H39" s="15"/>
      <c r="I39" s="113"/>
      <c r="J39" s="113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  <c r="IX39" s="15"/>
      <c r="IY39" s="15"/>
      <c r="IZ39" s="15"/>
      <c r="JA39" s="15"/>
      <c r="JB39" s="15"/>
      <c r="JC39" s="15"/>
      <c r="JD39" s="15"/>
      <c r="JE39" s="15"/>
      <c r="JF39" s="15"/>
      <c r="JG39" s="15"/>
      <c r="JH39" s="15"/>
      <c r="JI39" s="15"/>
      <c r="JJ39" s="15"/>
      <c r="JK39" s="15"/>
      <c r="JL39" s="15"/>
      <c r="JM39" s="15"/>
      <c r="JN39" s="15"/>
      <c r="JO39" s="15"/>
      <c r="JP39" s="15"/>
      <c r="JQ39" s="15"/>
      <c r="JR39" s="15"/>
      <c r="JS39" s="15"/>
      <c r="JT39" s="15"/>
      <c r="JU39" s="15"/>
      <c r="JV39" s="15"/>
      <c r="JW39" s="15"/>
      <c r="JX39" s="15"/>
      <c r="JY39" s="15"/>
      <c r="JZ39" s="15"/>
      <c r="KA39" s="15"/>
      <c r="KB39" s="15"/>
      <c r="KC39" s="15"/>
      <c r="KD39" s="15"/>
      <c r="KE39" s="15"/>
      <c r="KF39" s="15"/>
      <c r="KG39" s="15"/>
      <c r="KH39" s="15"/>
      <c r="KI39" s="15"/>
      <c r="KJ39" s="15"/>
      <c r="KK39" s="15"/>
      <c r="KL39" s="15"/>
      <c r="KM39" s="15"/>
      <c r="KN39" s="15"/>
      <c r="KO39" s="15"/>
      <c r="KP39" s="15"/>
      <c r="KQ39" s="15"/>
      <c r="KR39" s="15"/>
      <c r="KS39" s="15"/>
      <c r="KT39" s="15"/>
      <c r="KU39" s="15"/>
      <c r="KV39" s="15"/>
      <c r="KW39" s="15"/>
      <c r="KX39" s="15"/>
      <c r="KY39" s="15"/>
      <c r="KZ39" s="15"/>
      <c r="LA39" s="15"/>
      <c r="LB39" s="15"/>
      <c r="LC39" s="15"/>
      <c r="LD39" s="15"/>
      <c r="LE39" s="15"/>
      <c r="LF39" s="15"/>
      <c r="LG39" s="15"/>
      <c r="LH39" s="15"/>
      <c r="LI39" s="15"/>
      <c r="LJ39" s="15"/>
      <c r="LK39" s="15"/>
      <c r="LL39" s="15"/>
      <c r="LM39" s="15"/>
      <c r="LN39" s="15"/>
      <c r="LO39" s="15"/>
      <c r="LP39" s="15"/>
      <c r="LQ39" s="15"/>
      <c r="LR39" s="15"/>
      <c r="LS39" s="15"/>
      <c r="LT39" s="15"/>
      <c r="LU39" s="15"/>
      <c r="LV39" s="15"/>
      <c r="LW39" s="15"/>
      <c r="LX39" s="15"/>
      <c r="LY39" s="15"/>
      <c r="LZ39" s="15"/>
      <c r="MA39" s="15"/>
      <c r="MB39" s="15"/>
      <c r="MC39" s="15"/>
      <c r="MD39" s="15"/>
      <c r="ME39" s="15"/>
      <c r="MF39" s="15"/>
      <c r="MG39" s="15"/>
      <c r="MH39" s="15"/>
      <c r="MI39" s="15"/>
      <c r="MJ39" s="15"/>
      <c r="MK39" s="15"/>
      <c r="ML39" s="15"/>
      <c r="MM39" s="15"/>
      <c r="MN39" s="15"/>
      <c r="MO39" s="15"/>
      <c r="MP39" s="15"/>
      <c r="MQ39" s="15"/>
      <c r="MR39" s="15"/>
      <c r="MS39" s="15"/>
      <c r="MT39" s="15"/>
      <c r="MU39" s="15"/>
      <c r="MV39" s="15"/>
      <c r="MW39" s="15"/>
      <c r="MX39" s="15"/>
      <c r="MY39" s="15"/>
      <c r="MZ39" s="15"/>
      <c r="NA39" s="15"/>
      <c r="NB39" s="15"/>
      <c r="NC39" s="15"/>
      <c r="ND39" s="15"/>
      <c r="NE39" s="15"/>
      <c r="NF39" s="15"/>
      <c r="NG39" s="15"/>
    </row>
    <row r="40" spans="1:371" ht="14.4">
      <c r="A40" s="15"/>
      <c r="B40" s="15"/>
      <c r="C40" s="290">
        <v>8</v>
      </c>
      <c r="D40" s="290" t="s">
        <v>123</v>
      </c>
      <c r="E40" s="108"/>
      <c r="F40" s="109" t="s">
        <v>820</v>
      </c>
      <c r="G40" s="108"/>
      <c r="H40" s="108"/>
      <c r="I40" s="109" t="s">
        <v>821</v>
      </c>
      <c r="J40" s="109" t="str">
        <f>RIGHT(F40,4)</f>
        <v>ePie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  <c r="IX40" s="15"/>
      <c r="IY40" s="15"/>
      <c r="IZ40" s="15"/>
      <c r="JA40" s="15"/>
      <c r="JB40" s="15"/>
      <c r="JC40" s="15"/>
      <c r="JD40" s="15"/>
      <c r="JE40" s="15"/>
      <c r="JF40" s="15"/>
      <c r="JG40" s="15"/>
      <c r="JH40" s="15"/>
      <c r="JI40" s="15"/>
      <c r="JJ40" s="15"/>
      <c r="JK40" s="15"/>
      <c r="JL40" s="15"/>
      <c r="JM40" s="15"/>
      <c r="JN40" s="15"/>
      <c r="JO40" s="15"/>
      <c r="JP40" s="15"/>
      <c r="JQ40" s="15"/>
      <c r="JR40" s="15"/>
      <c r="JS40" s="15"/>
      <c r="JT40" s="15"/>
      <c r="JU40" s="15"/>
      <c r="JV40" s="15"/>
      <c r="JW40" s="15"/>
      <c r="JX40" s="15"/>
      <c r="JY40" s="15"/>
      <c r="JZ40" s="15"/>
      <c r="KA40" s="15"/>
      <c r="KB40" s="15"/>
      <c r="KC40" s="15"/>
      <c r="KD40" s="15"/>
      <c r="KE40" s="15"/>
      <c r="KF40" s="15"/>
      <c r="KG40" s="15"/>
      <c r="KH40" s="15"/>
      <c r="KI40" s="15"/>
      <c r="KJ40" s="15"/>
      <c r="KK40" s="15"/>
      <c r="KL40" s="15"/>
      <c r="KM40" s="15"/>
      <c r="KN40" s="15"/>
      <c r="KO40" s="15"/>
      <c r="KP40" s="15"/>
      <c r="KQ40" s="15"/>
      <c r="KR40" s="15"/>
      <c r="KS40" s="15"/>
      <c r="KT40" s="15"/>
      <c r="KU40" s="15"/>
      <c r="KV40" s="15"/>
      <c r="KW40" s="15"/>
      <c r="KX40" s="15"/>
      <c r="KY40" s="15"/>
      <c r="KZ40" s="15"/>
      <c r="LA40" s="15"/>
      <c r="LB40" s="15"/>
      <c r="LC40" s="15"/>
      <c r="LD40" s="15"/>
      <c r="LE40" s="15"/>
      <c r="LF40" s="15"/>
      <c r="LG40" s="15"/>
      <c r="LH40" s="15"/>
      <c r="LI40" s="15"/>
      <c r="LJ40" s="15"/>
      <c r="LK40" s="15"/>
      <c r="LL40" s="15"/>
      <c r="LM40" s="15"/>
      <c r="LN40" s="15"/>
      <c r="LO40" s="15"/>
      <c r="LP40" s="15"/>
      <c r="LQ40" s="15"/>
      <c r="LR40" s="15"/>
      <c r="LS40" s="15"/>
      <c r="LT40" s="15"/>
      <c r="LU40" s="15"/>
      <c r="LV40" s="15"/>
      <c r="LW40" s="15"/>
      <c r="LX40" s="15"/>
      <c r="LY40" s="15"/>
      <c r="LZ40" s="15"/>
      <c r="MA40" s="15"/>
      <c r="MB40" s="15"/>
      <c r="MC40" s="15"/>
      <c r="MD40" s="15"/>
      <c r="ME40" s="15"/>
      <c r="MF40" s="15"/>
      <c r="MG40" s="15"/>
      <c r="MH40" s="15"/>
      <c r="MI40" s="15"/>
      <c r="MJ40" s="15"/>
      <c r="MK40" s="15"/>
      <c r="ML40" s="15"/>
      <c r="MM40" s="15"/>
      <c r="MN40" s="15"/>
      <c r="MO40" s="15"/>
      <c r="MP40" s="15"/>
      <c r="MQ40" s="15"/>
      <c r="MR40" s="15"/>
      <c r="MS40" s="15"/>
      <c r="MT40" s="15"/>
      <c r="MU40" s="15"/>
      <c r="MV40" s="15"/>
      <c r="MW40" s="15"/>
      <c r="MX40" s="15"/>
      <c r="MY40" s="15"/>
      <c r="MZ40" s="15"/>
      <c r="NA40" s="15"/>
      <c r="NB40" s="15"/>
      <c r="NC40" s="15"/>
      <c r="ND40" s="15"/>
      <c r="NE40" s="15"/>
      <c r="NF40" s="15"/>
      <c r="NG40" s="15"/>
    </row>
    <row r="41" spans="1:371" ht="14.4">
      <c r="A41" s="15"/>
      <c r="B41" s="15"/>
      <c r="C41" s="291"/>
      <c r="D41" s="291"/>
      <c r="E41" s="108"/>
      <c r="F41" s="109" t="s">
        <v>822</v>
      </c>
      <c r="G41" s="108"/>
      <c r="H41" s="108"/>
      <c r="I41" s="109" t="s">
        <v>823</v>
      </c>
      <c r="J41" s="109" t="str">
        <f>RIGHT(F41,6)</f>
        <v>Forest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  <c r="IX41" s="15"/>
      <c r="IY41" s="15"/>
      <c r="IZ41" s="15"/>
      <c r="JA41" s="15"/>
      <c r="JB41" s="15"/>
      <c r="JC41" s="15"/>
      <c r="JD41" s="15"/>
      <c r="JE41" s="15"/>
      <c r="JF41" s="15"/>
      <c r="JG41" s="15"/>
      <c r="JH41" s="15"/>
      <c r="JI41" s="15"/>
      <c r="JJ41" s="15"/>
      <c r="JK41" s="15"/>
      <c r="JL41" s="15"/>
      <c r="JM41" s="15"/>
      <c r="JN41" s="15"/>
      <c r="JO41" s="15"/>
      <c r="JP41" s="15"/>
      <c r="JQ41" s="15"/>
      <c r="JR41" s="15"/>
      <c r="JS41" s="15"/>
      <c r="JT41" s="15"/>
      <c r="JU41" s="15"/>
      <c r="JV41" s="15"/>
      <c r="JW41" s="15"/>
      <c r="JX41" s="15"/>
      <c r="JY41" s="15"/>
      <c r="JZ41" s="15"/>
      <c r="KA41" s="15"/>
      <c r="KB41" s="15"/>
      <c r="KC41" s="15"/>
      <c r="KD41" s="15"/>
      <c r="KE41" s="15"/>
      <c r="KF41" s="15"/>
      <c r="KG41" s="15"/>
      <c r="KH41" s="15"/>
      <c r="KI41" s="15"/>
      <c r="KJ41" s="15"/>
      <c r="KK41" s="15"/>
      <c r="KL41" s="15"/>
      <c r="KM41" s="15"/>
      <c r="KN41" s="15"/>
      <c r="KO41" s="15"/>
      <c r="KP41" s="15"/>
      <c r="KQ41" s="15"/>
      <c r="KR41" s="15"/>
      <c r="KS41" s="15"/>
      <c r="KT41" s="15"/>
      <c r="KU41" s="15"/>
      <c r="KV41" s="15"/>
      <c r="KW41" s="15"/>
      <c r="KX41" s="15"/>
      <c r="KY41" s="15"/>
      <c r="KZ41" s="15"/>
      <c r="LA41" s="15"/>
      <c r="LB41" s="15"/>
      <c r="LC41" s="15"/>
      <c r="LD41" s="15"/>
      <c r="LE41" s="15"/>
      <c r="LF41" s="15"/>
      <c r="LG41" s="15"/>
      <c r="LH41" s="15"/>
      <c r="LI41" s="15"/>
      <c r="LJ41" s="15"/>
      <c r="LK41" s="15"/>
      <c r="LL41" s="15"/>
      <c r="LM41" s="15"/>
      <c r="LN41" s="15"/>
      <c r="LO41" s="15"/>
      <c r="LP41" s="15"/>
      <c r="LQ41" s="15"/>
      <c r="LR41" s="15"/>
      <c r="LS41" s="15"/>
      <c r="LT41" s="15"/>
      <c r="LU41" s="15"/>
      <c r="LV41" s="15"/>
      <c r="LW41" s="15"/>
      <c r="LX41" s="15"/>
      <c r="LY41" s="15"/>
      <c r="LZ41" s="15"/>
      <c r="MA41" s="15"/>
      <c r="MB41" s="15"/>
      <c r="MC41" s="15"/>
      <c r="MD41" s="15"/>
      <c r="ME41" s="15"/>
      <c r="MF41" s="15"/>
      <c r="MG41" s="15"/>
      <c r="MH41" s="15"/>
      <c r="MI41" s="15"/>
      <c r="MJ41" s="15"/>
      <c r="MK41" s="15"/>
      <c r="ML41" s="15"/>
      <c r="MM41" s="15"/>
      <c r="MN41" s="15"/>
      <c r="MO41" s="15"/>
      <c r="MP41" s="15"/>
      <c r="MQ41" s="15"/>
      <c r="MR41" s="15"/>
      <c r="MS41" s="15"/>
      <c r="MT41" s="15"/>
      <c r="MU41" s="15"/>
      <c r="MV41" s="15"/>
      <c r="MW41" s="15"/>
      <c r="MX41" s="15"/>
      <c r="MY41" s="15"/>
      <c r="MZ41" s="15"/>
      <c r="NA41" s="15"/>
      <c r="NB41" s="15"/>
      <c r="NC41" s="15"/>
      <c r="ND41" s="15"/>
      <c r="NE41" s="15"/>
      <c r="NF41" s="15"/>
      <c r="NG41" s="15"/>
    </row>
    <row r="42" spans="1:371" ht="14.4">
      <c r="A42" s="15"/>
      <c r="B42" s="15"/>
      <c r="C42" s="291"/>
      <c r="D42" s="291"/>
      <c r="E42" s="108"/>
      <c r="F42" s="109" t="s">
        <v>824</v>
      </c>
      <c r="G42" s="108"/>
      <c r="H42" s="108"/>
      <c r="I42" s="109" t="s">
        <v>825</v>
      </c>
      <c r="J42" s="109" t="str">
        <f>RIGHT(F42,4)</f>
        <v>tion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  <c r="IX42" s="15"/>
      <c r="IY42" s="15"/>
      <c r="IZ42" s="15"/>
      <c r="JA42" s="15"/>
      <c r="JB42" s="15"/>
      <c r="JC42" s="15"/>
      <c r="JD42" s="15"/>
      <c r="JE42" s="15"/>
      <c r="JF42" s="15"/>
      <c r="JG42" s="15"/>
      <c r="JH42" s="15"/>
      <c r="JI42" s="15"/>
      <c r="JJ42" s="15"/>
      <c r="JK42" s="15"/>
      <c r="JL42" s="15"/>
      <c r="JM42" s="15"/>
      <c r="JN42" s="15"/>
      <c r="JO42" s="15"/>
      <c r="JP42" s="15"/>
      <c r="JQ42" s="15"/>
      <c r="JR42" s="15"/>
      <c r="JS42" s="15"/>
      <c r="JT42" s="15"/>
      <c r="JU42" s="15"/>
      <c r="JV42" s="15"/>
      <c r="JW42" s="15"/>
      <c r="JX42" s="15"/>
      <c r="JY42" s="15"/>
      <c r="JZ42" s="15"/>
      <c r="KA42" s="15"/>
      <c r="KB42" s="15"/>
      <c r="KC42" s="15"/>
      <c r="KD42" s="15"/>
      <c r="KE42" s="15"/>
      <c r="KF42" s="15"/>
      <c r="KG42" s="15"/>
      <c r="KH42" s="15"/>
      <c r="KI42" s="15"/>
      <c r="KJ42" s="15"/>
      <c r="KK42" s="15"/>
      <c r="KL42" s="15"/>
      <c r="KM42" s="15"/>
      <c r="KN42" s="15"/>
      <c r="KO42" s="15"/>
      <c r="KP42" s="15"/>
      <c r="KQ42" s="15"/>
      <c r="KR42" s="15"/>
      <c r="KS42" s="15"/>
      <c r="KT42" s="15"/>
      <c r="KU42" s="15"/>
      <c r="KV42" s="15"/>
      <c r="KW42" s="15"/>
      <c r="KX42" s="15"/>
      <c r="KY42" s="15"/>
      <c r="KZ42" s="15"/>
      <c r="LA42" s="15"/>
      <c r="LB42" s="15"/>
      <c r="LC42" s="15"/>
      <c r="LD42" s="15"/>
      <c r="LE42" s="15"/>
      <c r="LF42" s="15"/>
      <c r="LG42" s="15"/>
      <c r="LH42" s="15"/>
      <c r="LI42" s="15"/>
      <c r="LJ42" s="15"/>
      <c r="LK42" s="15"/>
      <c r="LL42" s="15"/>
      <c r="LM42" s="15"/>
      <c r="LN42" s="15"/>
      <c r="LO42" s="15"/>
      <c r="LP42" s="15"/>
      <c r="LQ42" s="15"/>
      <c r="LR42" s="15"/>
      <c r="LS42" s="15"/>
      <c r="LT42" s="15"/>
      <c r="LU42" s="15"/>
      <c r="LV42" s="15"/>
      <c r="LW42" s="15"/>
      <c r="LX42" s="15"/>
      <c r="LY42" s="15"/>
      <c r="LZ42" s="15"/>
      <c r="MA42" s="15"/>
      <c r="MB42" s="15"/>
      <c r="MC42" s="15"/>
      <c r="MD42" s="15"/>
      <c r="ME42" s="15"/>
      <c r="MF42" s="15"/>
      <c r="MG42" s="15"/>
      <c r="MH42" s="15"/>
      <c r="MI42" s="15"/>
      <c r="MJ42" s="15"/>
      <c r="MK42" s="15"/>
      <c r="ML42" s="15"/>
      <c r="MM42" s="15"/>
      <c r="MN42" s="15"/>
      <c r="MO42" s="15"/>
      <c r="MP42" s="15"/>
      <c r="MQ42" s="15"/>
      <c r="MR42" s="15"/>
      <c r="MS42" s="15"/>
      <c r="MT42" s="15"/>
      <c r="MU42" s="15"/>
      <c r="MV42" s="15"/>
      <c r="MW42" s="15"/>
      <c r="MX42" s="15"/>
      <c r="MY42" s="15"/>
      <c r="MZ42" s="15"/>
      <c r="NA42" s="15"/>
      <c r="NB42" s="15"/>
      <c r="NC42" s="15"/>
      <c r="ND42" s="15"/>
      <c r="NE42" s="15"/>
      <c r="NF42" s="15"/>
      <c r="NG42" s="15"/>
    </row>
    <row r="43" spans="1:371" ht="14.4">
      <c r="A43" s="15"/>
      <c r="B43" s="15"/>
      <c r="C43" s="291"/>
      <c r="D43" s="291"/>
      <c r="E43" s="108"/>
      <c r="F43" s="109" t="s">
        <v>826</v>
      </c>
      <c r="G43" s="108"/>
      <c r="H43" s="108"/>
      <c r="I43" s="109" t="s">
        <v>827</v>
      </c>
      <c r="J43" s="109" t="str">
        <f>RIGHT(F43,3)</f>
        <v>tum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  <c r="IX43" s="15"/>
      <c r="IY43" s="15"/>
      <c r="IZ43" s="15"/>
      <c r="JA43" s="15"/>
      <c r="JB43" s="15"/>
      <c r="JC43" s="15"/>
      <c r="JD43" s="15"/>
      <c r="JE43" s="15"/>
      <c r="JF43" s="15"/>
      <c r="JG43" s="15"/>
      <c r="JH43" s="15"/>
      <c r="JI43" s="15"/>
      <c r="JJ43" s="15"/>
      <c r="JK43" s="15"/>
      <c r="JL43" s="15"/>
      <c r="JM43" s="15"/>
      <c r="JN43" s="15"/>
      <c r="JO43" s="15"/>
      <c r="JP43" s="15"/>
      <c r="JQ43" s="15"/>
      <c r="JR43" s="15"/>
      <c r="JS43" s="15"/>
      <c r="JT43" s="15"/>
      <c r="JU43" s="15"/>
      <c r="JV43" s="15"/>
      <c r="JW43" s="15"/>
      <c r="JX43" s="15"/>
      <c r="JY43" s="15"/>
      <c r="JZ43" s="15"/>
      <c r="KA43" s="15"/>
      <c r="KB43" s="15"/>
      <c r="KC43" s="15"/>
      <c r="KD43" s="15"/>
      <c r="KE43" s="15"/>
      <c r="KF43" s="15"/>
      <c r="KG43" s="15"/>
      <c r="KH43" s="15"/>
      <c r="KI43" s="15"/>
      <c r="KJ43" s="15"/>
      <c r="KK43" s="15"/>
      <c r="KL43" s="15"/>
      <c r="KM43" s="15"/>
      <c r="KN43" s="15"/>
      <c r="KO43" s="15"/>
      <c r="KP43" s="15"/>
      <c r="KQ43" s="15"/>
      <c r="KR43" s="15"/>
      <c r="KS43" s="15"/>
      <c r="KT43" s="15"/>
      <c r="KU43" s="15"/>
      <c r="KV43" s="15"/>
      <c r="KW43" s="15"/>
      <c r="KX43" s="15"/>
      <c r="KY43" s="15"/>
      <c r="KZ43" s="15"/>
      <c r="LA43" s="15"/>
      <c r="LB43" s="15"/>
      <c r="LC43" s="15"/>
      <c r="LD43" s="15"/>
      <c r="LE43" s="15"/>
      <c r="LF43" s="15"/>
      <c r="LG43" s="15"/>
      <c r="LH43" s="15"/>
      <c r="LI43" s="15"/>
      <c r="LJ43" s="15"/>
      <c r="LK43" s="15"/>
      <c r="LL43" s="15"/>
      <c r="LM43" s="15"/>
      <c r="LN43" s="15"/>
      <c r="LO43" s="15"/>
      <c r="LP43" s="15"/>
      <c r="LQ43" s="15"/>
      <c r="LR43" s="15"/>
      <c r="LS43" s="15"/>
      <c r="LT43" s="15"/>
      <c r="LU43" s="15"/>
      <c r="LV43" s="15"/>
      <c r="LW43" s="15"/>
      <c r="LX43" s="15"/>
      <c r="LY43" s="15"/>
      <c r="LZ43" s="15"/>
      <c r="MA43" s="15"/>
      <c r="MB43" s="15"/>
      <c r="MC43" s="15"/>
      <c r="MD43" s="15"/>
      <c r="ME43" s="15"/>
      <c r="MF43" s="15"/>
      <c r="MG43" s="15"/>
      <c r="MH43" s="15"/>
      <c r="MI43" s="15"/>
      <c r="MJ43" s="15"/>
      <c r="MK43" s="15"/>
      <c r="ML43" s="15"/>
      <c r="MM43" s="15"/>
      <c r="MN43" s="15"/>
      <c r="MO43" s="15"/>
      <c r="MP43" s="15"/>
      <c r="MQ43" s="15"/>
      <c r="MR43" s="15"/>
      <c r="MS43" s="15"/>
      <c r="MT43" s="15"/>
      <c r="MU43" s="15"/>
      <c r="MV43" s="15"/>
      <c r="MW43" s="15"/>
      <c r="MX43" s="15"/>
      <c r="MY43" s="15"/>
      <c r="MZ43" s="15"/>
      <c r="NA43" s="15"/>
      <c r="NB43" s="15"/>
      <c r="NC43" s="15"/>
      <c r="ND43" s="15"/>
      <c r="NE43" s="15"/>
      <c r="NF43" s="15"/>
      <c r="NG43" s="15"/>
    </row>
    <row r="44" spans="1:371" ht="14.4">
      <c r="A44" s="15"/>
      <c r="B44" s="15"/>
      <c r="C44" s="283"/>
      <c r="D44" s="283"/>
      <c r="E44" s="108"/>
      <c r="F44" s="109" t="s">
        <v>828</v>
      </c>
      <c r="G44" s="108"/>
      <c r="H44" s="108"/>
      <c r="I44" s="109" t="s">
        <v>829</v>
      </c>
      <c r="J44" s="109" t="str">
        <f>RIGHT(F44,2)</f>
        <v>py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  <c r="IX44" s="15"/>
      <c r="IY44" s="15"/>
      <c r="IZ44" s="15"/>
      <c r="JA44" s="15"/>
      <c r="JB44" s="15"/>
      <c r="JC44" s="15"/>
      <c r="JD44" s="15"/>
      <c r="JE44" s="15"/>
      <c r="JF44" s="15"/>
      <c r="JG44" s="15"/>
      <c r="JH44" s="15"/>
      <c r="JI44" s="15"/>
      <c r="JJ44" s="15"/>
      <c r="JK44" s="15"/>
      <c r="JL44" s="15"/>
      <c r="JM44" s="15"/>
      <c r="JN44" s="15"/>
      <c r="JO44" s="15"/>
      <c r="JP44" s="15"/>
      <c r="JQ44" s="15"/>
      <c r="JR44" s="15"/>
      <c r="JS44" s="15"/>
      <c r="JT44" s="15"/>
      <c r="JU44" s="15"/>
      <c r="JV44" s="15"/>
      <c r="JW44" s="15"/>
      <c r="JX44" s="15"/>
      <c r="JY44" s="15"/>
      <c r="JZ44" s="15"/>
      <c r="KA44" s="15"/>
      <c r="KB44" s="15"/>
      <c r="KC44" s="15"/>
      <c r="KD44" s="15"/>
      <c r="KE44" s="15"/>
      <c r="KF44" s="15"/>
      <c r="KG44" s="15"/>
      <c r="KH44" s="15"/>
      <c r="KI44" s="15"/>
      <c r="KJ44" s="15"/>
      <c r="KK44" s="15"/>
      <c r="KL44" s="15"/>
      <c r="KM44" s="15"/>
      <c r="KN44" s="15"/>
      <c r="KO44" s="15"/>
      <c r="KP44" s="15"/>
      <c r="KQ44" s="15"/>
      <c r="KR44" s="15"/>
      <c r="KS44" s="15"/>
      <c r="KT44" s="15"/>
      <c r="KU44" s="15"/>
      <c r="KV44" s="15"/>
      <c r="KW44" s="15"/>
      <c r="KX44" s="15"/>
      <c r="KY44" s="15"/>
      <c r="KZ44" s="15"/>
      <c r="LA44" s="15"/>
      <c r="LB44" s="15"/>
      <c r="LC44" s="15"/>
      <c r="LD44" s="15"/>
      <c r="LE44" s="15"/>
      <c r="LF44" s="15"/>
      <c r="LG44" s="15"/>
      <c r="LH44" s="15"/>
      <c r="LI44" s="15"/>
      <c r="LJ44" s="15"/>
      <c r="LK44" s="15"/>
      <c r="LL44" s="15"/>
      <c r="LM44" s="15"/>
      <c r="LN44" s="15"/>
      <c r="LO44" s="15"/>
      <c r="LP44" s="15"/>
      <c r="LQ44" s="15"/>
      <c r="LR44" s="15"/>
      <c r="LS44" s="15"/>
      <c r="LT44" s="15"/>
      <c r="LU44" s="15"/>
      <c r="LV44" s="15"/>
      <c r="LW44" s="15"/>
      <c r="LX44" s="15"/>
      <c r="LY44" s="15"/>
      <c r="LZ44" s="15"/>
      <c r="MA44" s="15"/>
      <c r="MB44" s="15"/>
      <c r="MC44" s="15"/>
      <c r="MD44" s="15"/>
      <c r="ME44" s="15"/>
      <c r="MF44" s="15"/>
      <c r="MG44" s="15"/>
      <c r="MH44" s="15"/>
      <c r="MI44" s="15"/>
      <c r="MJ44" s="15"/>
      <c r="MK44" s="15"/>
      <c r="ML44" s="15"/>
      <c r="MM44" s="15"/>
      <c r="MN44" s="15"/>
      <c r="MO44" s="15"/>
      <c r="MP44" s="15"/>
      <c r="MQ44" s="15"/>
      <c r="MR44" s="15"/>
      <c r="MS44" s="15"/>
      <c r="MT44" s="15"/>
      <c r="MU44" s="15"/>
      <c r="MV44" s="15"/>
      <c r="MW44" s="15"/>
      <c r="MX44" s="15"/>
      <c r="MY44" s="15"/>
      <c r="MZ44" s="15"/>
      <c r="NA44" s="15"/>
      <c r="NB44" s="15"/>
      <c r="NC44" s="15"/>
      <c r="ND44" s="15"/>
      <c r="NE44" s="15"/>
      <c r="NF44" s="15"/>
      <c r="NG44" s="15"/>
    </row>
    <row r="45" spans="1:371" ht="14.4">
      <c r="A45" s="15"/>
      <c r="B45" s="15"/>
      <c r="C45" s="111"/>
      <c r="D45" s="111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  <c r="IX45" s="15"/>
      <c r="IY45" s="15"/>
      <c r="IZ45" s="15"/>
      <c r="JA45" s="15"/>
      <c r="JB45" s="15"/>
      <c r="JC45" s="15"/>
      <c r="JD45" s="15"/>
      <c r="JE45" s="15"/>
      <c r="JF45" s="15"/>
      <c r="JG45" s="15"/>
      <c r="JH45" s="15"/>
      <c r="JI45" s="15"/>
      <c r="JJ45" s="15"/>
      <c r="JK45" s="15"/>
      <c r="JL45" s="15"/>
      <c r="JM45" s="15"/>
      <c r="JN45" s="15"/>
      <c r="JO45" s="15"/>
      <c r="JP45" s="15"/>
      <c r="JQ45" s="15"/>
      <c r="JR45" s="15"/>
      <c r="JS45" s="15"/>
      <c r="JT45" s="15"/>
      <c r="JU45" s="15"/>
      <c r="JV45" s="15"/>
      <c r="JW45" s="15"/>
      <c r="JX45" s="15"/>
      <c r="JY45" s="15"/>
      <c r="JZ45" s="15"/>
      <c r="KA45" s="15"/>
      <c r="KB45" s="15"/>
      <c r="KC45" s="15"/>
      <c r="KD45" s="15"/>
      <c r="KE45" s="15"/>
      <c r="KF45" s="15"/>
      <c r="KG45" s="15"/>
      <c r="KH45" s="15"/>
      <c r="KI45" s="15"/>
      <c r="KJ45" s="15"/>
      <c r="KK45" s="15"/>
      <c r="KL45" s="15"/>
      <c r="KM45" s="15"/>
      <c r="KN45" s="15"/>
      <c r="KO45" s="15"/>
      <c r="KP45" s="15"/>
      <c r="KQ45" s="15"/>
      <c r="KR45" s="15"/>
      <c r="KS45" s="15"/>
      <c r="KT45" s="15"/>
      <c r="KU45" s="15"/>
      <c r="KV45" s="15"/>
      <c r="KW45" s="15"/>
      <c r="KX45" s="15"/>
      <c r="KY45" s="15"/>
      <c r="KZ45" s="15"/>
      <c r="LA45" s="15"/>
      <c r="LB45" s="15"/>
      <c r="LC45" s="15"/>
      <c r="LD45" s="15"/>
      <c r="LE45" s="15"/>
      <c r="LF45" s="15"/>
      <c r="LG45" s="15"/>
      <c r="LH45" s="15"/>
      <c r="LI45" s="15"/>
      <c r="LJ45" s="15"/>
      <c r="LK45" s="15"/>
      <c r="LL45" s="15"/>
      <c r="LM45" s="15"/>
      <c r="LN45" s="15"/>
      <c r="LO45" s="15"/>
      <c r="LP45" s="15"/>
      <c r="LQ45" s="15"/>
      <c r="LR45" s="15"/>
      <c r="LS45" s="15"/>
      <c r="LT45" s="15"/>
      <c r="LU45" s="15"/>
      <c r="LV45" s="15"/>
      <c r="LW45" s="15"/>
      <c r="LX45" s="15"/>
      <c r="LY45" s="15"/>
      <c r="LZ45" s="15"/>
      <c r="MA45" s="15"/>
      <c r="MB45" s="15"/>
      <c r="MC45" s="15"/>
      <c r="MD45" s="15"/>
      <c r="ME45" s="15"/>
      <c r="MF45" s="15"/>
      <c r="MG45" s="15"/>
      <c r="MH45" s="15"/>
      <c r="MI45" s="15"/>
      <c r="MJ45" s="15"/>
      <c r="MK45" s="15"/>
      <c r="ML45" s="15"/>
      <c r="MM45" s="15"/>
      <c r="MN45" s="15"/>
      <c r="MO45" s="15"/>
      <c r="MP45" s="15"/>
      <c r="MQ45" s="15"/>
      <c r="MR45" s="15"/>
      <c r="MS45" s="15"/>
      <c r="MT45" s="15"/>
      <c r="MU45" s="15"/>
      <c r="MV45" s="15"/>
      <c r="MW45" s="15"/>
      <c r="MX45" s="15"/>
      <c r="MY45" s="15"/>
      <c r="MZ45" s="15"/>
      <c r="NA45" s="15"/>
      <c r="NB45" s="15"/>
      <c r="NC45" s="15"/>
      <c r="ND45" s="15"/>
      <c r="NE45" s="15"/>
      <c r="NF45" s="15"/>
      <c r="NG45" s="15"/>
    </row>
    <row r="46" spans="1:371" ht="14.4">
      <c r="A46" s="15"/>
      <c r="B46" s="15"/>
      <c r="C46" s="290">
        <v>9</v>
      </c>
      <c r="D46" s="290" t="s">
        <v>90</v>
      </c>
      <c r="E46" s="108"/>
      <c r="F46" s="109" t="s">
        <v>45</v>
      </c>
      <c r="G46" s="108"/>
      <c r="H46" s="108"/>
      <c r="I46" s="109" t="s">
        <v>830</v>
      </c>
      <c r="J46" s="109" t="str">
        <f>MID(F46,1,3)</f>
        <v>Man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  <c r="IX46" s="15"/>
      <c r="IY46" s="15"/>
      <c r="IZ46" s="15"/>
      <c r="JA46" s="15"/>
      <c r="JB46" s="15"/>
      <c r="JC46" s="15"/>
      <c r="JD46" s="15"/>
      <c r="JE46" s="15"/>
      <c r="JF46" s="15"/>
      <c r="JG46" s="15"/>
      <c r="JH46" s="15"/>
      <c r="JI46" s="15"/>
      <c r="JJ46" s="15"/>
      <c r="JK46" s="15"/>
      <c r="JL46" s="15"/>
      <c r="JM46" s="15"/>
      <c r="JN46" s="15"/>
      <c r="JO46" s="15"/>
      <c r="JP46" s="15"/>
      <c r="JQ46" s="15"/>
      <c r="JR46" s="15"/>
      <c r="JS46" s="15"/>
      <c r="JT46" s="15"/>
      <c r="JU46" s="15"/>
      <c r="JV46" s="15"/>
      <c r="JW46" s="15"/>
      <c r="JX46" s="15"/>
      <c r="JY46" s="15"/>
      <c r="JZ46" s="15"/>
      <c r="KA46" s="15"/>
      <c r="KB46" s="15"/>
      <c r="KC46" s="15"/>
      <c r="KD46" s="15"/>
      <c r="KE46" s="15"/>
      <c r="KF46" s="15"/>
      <c r="KG46" s="15"/>
      <c r="KH46" s="15"/>
      <c r="KI46" s="15"/>
      <c r="KJ46" s="15"/>
      <c r="KK46" s="15"/>
      <c r="KL46" s="15"/>
      <c r="KM46" s="15"/>
      <c r="KN46" s="15"/>
      <c r="KO46" s="15"/>
      <c r="KP46" s="15"/>
      <c r="KQ46" s="15"/>
      <c r="KR46" s="15"/>
      <c r="KS46" s="15"/>
      <c r="KT46" s="15"/>
      <c r="KU46" s="15"/>
      <c r="KV46" s="15"/>
      <c r="KW46" s="15"/>
      <c r="KX46" s="15"/>
      <c r="KY46" s="15"/>
      <c r="KZ46" s="15"/>
      <c r="LA46" s="15"/>
      <c r="LB46" s="15"/>
      <c r="LC46" s="15"/>
      <c r="LD46" s="15"/>
      <c r="LE46" s="15"/>
      <c r="LF46" s="15"/>
      <c r="LG46" s="15"/>
      <c r="LH46" s="15"/>
      <c r="LI46" s="15"/>
      <c r="LJ46" s="15"/>
      <c r="LK46" s="15"/>
      <c r="LL46" s="15"/>
      <c r="LM46" s="15"/>
      <c r="LN46" s="15"/>
      <c r="LO46" s="15"/>
      <c r="LP46" s="15"/>
      <c r="LQ46" s="15"/>
      <c r="LR46" s="15"/>
      <c r="LS46" s="15"/>
      <c r="LT46" s="15"/>
      <c r="LU46" s="15"/>
      <c r="LV46" s="15"/>
      <c r="LW46" s="15"/>
      <c r="LX46" s="15"/>
      <c r="LY46" s="15"/>
      <c r="LZ46" s="15"/>
      <c r="MA46" s="15"/>
      <c r="MB46" s="15"/>
      <c r="MC46" s="15"/>
      <c r="MD46" s="15"/>
      <c r="ME46" s="15"/>
      <c r="MF46" s="15"/>
      <c r="MG46" s="15"/>
      <c r="MH46" s="15"/>
      <c r="MI46" s="15"/>
      <c r="MJ46" s="15"/>
      <c r="MK46" s="15"/>
      <c r="ML46" s="15"/>
      <c r="MM46" s="15"/>
      <c r="MN46" s="15"/>
      <c r="MO46" s="15"/>
      <c r="MP46" s="15"/>
      <c r="MQ46" s="15"/>
      <c r="MR46" s="15"/>
      <c r="MS46" s="15"/>
      <c r="MT46" s="15"/>
      <c r="MU46" s="15"/>
      <c r="MV46" s="15"/>
      <c r="MW46" s="15"/>
      <c r="MX46" s="15"/>
      <c r="MY46" s="15"/>
      <c r="MZ46" s="15"/>
      <c r="NA46" s="15"/>
      <c r="NB46" s="15"/>
      <c r="NC46" s="15"/>
      <c r="ND46" s="15"/>
      <c r="NE46" s="15"/>
      <c r="NF46" s="15"/>
      <c r="NG46" s="15"/>
    </row>
    <row r="47" spans="1:371" ht="14.4">
      <c r="A47" s="15"/>
      <c r="B47" s="15"/>
      <c r="C47" s="291"/>
      <c r="D47" s="291"/>
      <c r="E47" s="108"/>
      <c r="F47" s="109" t="s">
        <v>831</v>
      </c>
      <c r="G47" s="108"/>
      <c r="H47" s="108"/>
      <c r="I47" s="109" t="s">
        <v>832</v>
      </c>
      <c r="J47" s="109" t="str">
        <f>MID(F47,2,3)</f>
        <v>old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  <c r="IX47" s="15"/>
      <c r="IY47" s="15"/>
      <c r="IZ47" s="15"/>
      <c r="JA47" s="15"/>
      <c r="JB47" s="15"/>
      <c r="JC47" s="15"/>
      <c r="JD47" s="15"/>
      <c r="JE47" s="15"/>
      <c r="JF47" s="15"/>
      <c r="JG47" s="15"/>
      <c r="JH47" s="15"/>
      <c r="JI47" s="15"/>
      <c r="JJ47" s="15"/>
      <c r="JK47" s="15"/>
      <c r="JL47" s="15"/>
      <c r="JM47" s="15"/>
      <c r="JN47" s="15"/>
      <c r="JO47" s="15"/>
      <c r="JP47" s="15"/>
      <c r="JQ47" s="15"/>
      <c r="JR47" s="15"/>
      <c r="JS47" s="15"/>
      <c r="JT47" s="15"/>
      <c r="JU47" s="15"/>
      <c r="JV47" s="15"/>
      <c r="JW47" s="15"/>
      <c r="JX47" s="15"/>
      <c r="JY47" s="15"/>
      <c r="JZ47" s="15"/>
      <c r="KA47" s="15"/>
      <c r="KB47" s="15"/>
      <c r="KC47" s="15"/>
      <c r="KD47" s="15"/>
      <c r="KE47" s="15"/>
      <c r="KF47" s="15"/>
      <c r="KG47" s="15"/>
      <c r="KH47" s="15"/>
      <c r="KI47" s="15"/>
      <c r="KJ47" s="15"/>
      <c r="KK47" s="15"/>
      <c r="KL47" s="15"/>
      <c r="KM47" s="15"/>
      <c r="KN47" s="15"/>
      <c r="KO47" s="15"/>
      <c r="KP47" s="15"/>
      <c r="KQ47" s="15"/>
      <c r="KR47" s="15"/>
      <c r="KS47" s="15"/>
      <c r="KT47" s="15"/>
      <c r="KU47" s="15"/>
      <c r="KV47" s="15"/>
      <c r="KW47" s="15"/>
      <c r="KX47" s="15"/>
      <c r="KY47" s="15"/>
      <c r="KZ47" s="15"/>
      <c r="LA47" s="15"/>
      <c r="LB47" s="15"/>
      <c r="LC47" s="15"/>
      <c r="LD47" s="15"/>
      <c r="LE47" s="15"/>
      <c r="LF47" s="15"/>
      <c r="LG47" s="15"/>
      <c r="LH47" s="15"/>
      <c r="LI47" s="15"/>
      <c r="LJ47" s="15"/>
      <c r="LK47" s="15"/>
      <c r="LL47" s="15"/>
      <c r="LM47" s="15"/>
      <c r="LN47" s="15"/>
      <c r="LO47" s="15"/>
      <c r="LP47" s="15"/>
      <c r="LQ47" s="15"/>
      <c r="LR47" s="15"/>
      <c r="LS47" s="15"/>
      <c r="LT47" s="15"/>
      <c r="LU47" s="15"/>
      <c r="LV47" s="15"/>
      <c r="LW47" s="15"/>
      <c r="LX47" s="15"/>
      <c r="LY47" s="15"/>
      <c r="LZ47" s="15"/>
      <c r="MA47" s="15"/>
      <c r="MB47" s="15"/>
      <c r="MC47" s="15"/>
      <c r="MD47" s="15"/>
      <c r="ME47" s="15"/>
      <c r="MF47" s="15"/>
      <c r="MG47" s="15"/>
      <c r="MH47" s="15"/>
      <c r="MI47" s="15"/>
      <c r="MJ47" s="15"/>
      <c r="MK47" s="15"/>
      <c r="ML47" s="15"/>
      <c r="MM47" s="15"/>
      <c r="MN47" s="15"/>
      <c r="MO47" s="15"/>
      <c r="MP47" s="15"/>
      <c r="MQ47" s="15"/>
      <c r="MR47" s="15"/>
      <c r="MS47" s="15"/>
      <c r="MT47" s="15"/>
      <c r="MU47" s="15"/>
      <c r="MV47" s="15"/>
      <c r="MW47" s="15"/>
      <c r="MX47" s="15"/>
      <c r="MY47" s="15"/>
      <c r="MZ47" s="15"/>
      <c r="NA47" s="15"/>
      <c r="NB47" s="15"/>
      <c r="NC47" s="15"/>
      <c r="ND47" s="15"/>
      <c r="NE47" s="15"/>
      <c r="NF47" s="15"/>
      <c r="NG47" s="15"/>
    </row>
    <row r="48" spans="1:371" ht="14.4">
      <c r="A48" s="15"/>
      <c r="B48" s="15"/>
      <c r="C48" s="291"/>
      <c r="D48" s="291"/>
      <c r="E48" s="108"/>
      <c r="F48" s="109" t="s">
        <v>833</v>
      </c>
      <c r="G48" s="108"/>
      <c r="H48" s="108"/>
      <c r="I48" s="109" t="s">
        <v>834</v>
      </c>
      <c r="J48" s="109" t="str">
        <f t="shared" ref="J48:J49" si="3">MID(F48,1,3)</f>
        <v>Cat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  <c r="IX48" s="15"/>
      <c r="IY48" s="15"/>
      <c r="IZ48" s="15"/>
      <c r="JA48" s="15"/>
      <c r="JB48" s="15"/>
      <c r="JC48" s="15"/>
      <c r="JD48" s="15"/>
      <c r="JE48" s="15"/>
      <c r="JF48" s="15"/>
      <c r="JG48" s="15"/>
      <c r="JH48" s="15"/>
      <c r="JI48" s="15"/>
      <c r="JJ48" s="15"/>
      <c r="JK48" s="15"/>
      <c r="JL48" s="15"/>
      <c r="JM48" s="15"/>
      <c r="JN48" s="15"/>
      <c r="JO48" s="15"/>
      <c r="JP48" s="15"/>
      <c r="JQ48" s="15"/>
      <c r="JR48" s="15"/>
      <c r="JS48" s="15"/>
      <c r="JT48" s="15"/>
      <c r="JU48" s="15"/>
      <c r="JV48" s="15"/>
      <c r="JW48" s="15"/>
      <c r="JX48" s="15"/>
      <c r="JY48" s="15"/>
      <c r="JZ48" s="15"/>
      <c r="KA48" s="15"/>
      <c r="KB48" s="15"/>
      <c r="KC48" s="15"/>
      <c r="KD48" s="15"/>
      <c r="KE48" s="15"/>
      <c r="KF48" s="15"/>
      <c r="KG48" s="15"/>
      <c r="KH48" s="15"/>
      <c r="KI48" s="15"/>
      <c r="KJ48" s="15"/>
      <c r="KK48" s="15"/>
      <c r="KL48" s="15"/>
      <c r="KM48" s="15"/>
      <c r="KN48" s="15"/>
      <c r="KO48" s="15"/>
      <c r="KP48" s="15"/>
      <c r="KQ48" s="15"/>
      <c r="KR48" s="15"/>
      <c r="KS48" s="15"/>
      <c r="KT48" s="15"/>
      <c r="KU48" s="15"/>
      <c r="KV48" s="15"/>
      <c r="KW48" s="15"/>
      <c r="KX48" s="15"/>
      <c r="KY48" s="15"/>
      <c r="KZ48" s="15"/>
      <c r="LA48" s="15"/>
      <c r="LB48" s="15"/>
      <c r="LC48" s="15"/>
      <c r="LD48" s="15"/>
      <c r="LE48" s="15"/>
      <c r="LF48" s="15"/>
      <c r="LG48" s="15"/>
      <c r="LH48" s="15"/>
      <c r="LI48" s="15"/>
      <c r="LJ48" s="15"/>
      <c r="LK48" s="15"/>
      <c r="LL48" s="15"/>
      <c r="LM48" s="15"/>
      <c r="LN48" s="15"/>
      <c r="LO48" s="15"/>
      <c r="LP48" s="15"/>
      <c r="LQ48" s="15"/>
      <c r="LR48" s="15"/>
      <c r="LS48" s="15"/>
      <c r="LT48" s="15"/>
      <c r="LU48" s="15"/>
      <c r="LV48" s="15"/>
      <c r="LW48" s="15"/>
      <c r="LX48" s="15"/>
      <c r="LY48" s="15"/>
      <c r="LZ48" s="15"/>
      <c r="MA48" s="15"/>
      <c r="MB48" s="15"/>
      <c r="MC48" s="15"/>
      <c r="MD48" s="15"/>
      <c r="ME48" s="15"/>
      <c r="MF48" s="15"/>
      <c r="MG48" s="15"/>
      <c r="MH48" s="15"/>
      <c r="MI48" s="15"/>
      <c r="MJ48" s="15"/>
      <c r="MK48" s="15"/>
      <c r="ML48" s="15"/>
      <c r="MM48" s="15"/>
      <c r="MN48" s="15"/>
      <c r="MO48" s="15"/>
      <c r="MP48" s="15"/>
      <c r="MQ48" s="15"/>
      <c r="MR48" s="15"/>
      <c r="MS48" s="15"/>
      <c r="MT48" s="15"/>
      <c r="MU48" s="15"/>
      <c r="MV48" s="15"/>
      <c r="MW48" s="15"/>
      <c r="MX48" s="15"/>
      <c r="MY48" s="15"/>
      <c r="MZ48" s="15"/>
      <c r="NA48" s="15"/>
      <c r="NB48" s="15"/>
      <c r="NC48" s="15"/>
      <c r="ND48" s="15"/>
      <c r="NE48" s="15"/>
      <c r="NF48" s="15"/>
      <c r="NG48" s="15"/>
    </row>
    <row r="49" spans="1:371" ht="14.4">
      <c r="A49" s="15"/>
      <c r="B49" s="15"/>
      <c r="C49" s="291"/>
      <c r="D49" s="291"/>
      <c r="E49" s="108"/>
      <c r="F49" s="109" t="s">
        <v>835</v>
      </c>
      <c r="G49" s="108"/>
      <c r="H49" s="108"/>
      <c r="I49" s="109" t="s">
        <v>836</v>
      </c>
      <c r="J49" s="109" t="str">
        <f t="shared" si="3"/>
        <v>Shi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  <c r="IX49" s="15"/>
      <c r="IY49" s="15"/>
      <c r="IZ49" s="15"/>
      <c r="JA49" s="15"/>
      <c r="JB49" s="15"/>
      <c r="JC49" s="15"/>
      <c r="JD49" s="15"/>
      <c r="JE49" s="15"/>
      <c r="JF49" s="15"/>
      <c r="JG49" s="15"/>
      <c r="JH49" s="15"/>
      <c r="JI49" s="15"/>
      <c r="JJ49" s="15"/>
      <c r="JK49" s="15"/>
      <c r="JL49" s="15"/>
      <c r="JM49" s="15"/>
      <c r="JN49" s="15"/>
      <c r="JO49" s="15"/>
      <c r="JP49" s="15"/>
      <c r="JQ49" s="15"/>
      <c r="JR49" s="15"/>
      <c r="JS49" s="15"/>
      <c r="JT49" s="15"/>
      <c r="JU49" s="15"/>
      <c r="JV49" s="15"/>
      <c r="JW49" s="15"/>
      <c r="JX49" s="15"/>
      <c r="JY49" s="15"/>
      <c r="JZ49" s="15"/>
      <c r="KA49" s="15"/>
      <c r="KB49" s="15"/>
      <c r="KC49" s="15"/>
      <c r="KD49" s="15"/>
      <c r="KE49" s="15"/>
      <c r="KF49" s="15"/>
      <c r="KG49" s="15"/>
      <c r="KH49" s="15"/>
      <c r="KI49" s="15"/>
      <c r="KJ49" s="15"/>
      <c r="KK49" s="15"/>
      <c r="KL49" s="15"/>
      <c r="KM49" s="15"/>
      <c r="KN49" s="15"/>
      <c r="KO49" s="15"/>
      <c r="KP49" s="15"/>
      <c r="KQ49" s="15"/>
      <c r="KR49" s="15"/>
      <c r="KS49" s="15"/>
      <c r="KT49" s="15"/>
      <c r="KU49" s="15"/>
      <c r="KV49" s="15"/>
      <c r="KW49" s="15"/>
      <c r="KX49" s="15"/>
      <c r="KY49" s="15"/>
      <c r="KZ49" s="15"/>
      <c r="LA49" s="15"/>
      <c r="LB49" s="15"/>
      <c r="LC49" s="15"/>
      <c r="LD49" s="15"/>
      <c r="LE49" s="15"/>
      <c r="LF49" s="15"/>
      <c r="LG49" s="15"/>
      <c r="LH49" s="15"/>
      <c r="LI49" s="15"/>
      <c r="LJ49" s="15"/>
      <c r="LK49" s="15"/>
      <c r="LL49" s="15"/>
      <c r="LM49" s="15"/>
      <c r="LN49" s="15"/>
      <c r="LO49" s="15"/>
      <c r="LP49" s="15"/>
      <c r="LQ49" s="15"/>
      <c r="LR49" s="15"/>
      <c r="LS49" s="15"/>
      <c r="LT49" s="15"/>
      <c r="LU49" s="15"/>
      <c r="LV49" s="15"/>
      <c r="LW49" s="15"/>
      <c r="LX49" s="15"/>
      <c r="LY49" s="15"/>
      <c r="LZ49" s="15"/>
      <c r="MA49" s="15"/>
      <c r="MB49" s="15"/>
      <c r="MC49" s="15"/>
      <c r="MD49" s="15"/>
      <c r="ME49" s="15"/>
      <c r="MF49" s="15"/>
      <c r="MG49" s="15"/>
      <c r="MH49" s="15"/>
      <c r="MI49" s="15"/>
      <c r="MJ49" s="15"/>
      <c r="MK49" s="15"/>
      <c r="ML49" s="15"/>
      <c r="MM49" s="15"/>
      <c r="MN49" s="15"/>
      <c r="MO49" s="15"/>
      <c r="MP49" s="15"/>
      <c r="MQ49" s="15"/>
      <c r="MR49" s="15"/>
      <c r="MS49" s="15"/>
      <c r="MT49" s="15"/>
      <c r="MU49" s="15"/>
      <c r="MV49" s="15"/>
      <c r="MW49" s="15"/>
      <c r="MX49" s="15"/>
      <c r="MY49" s="15"/>
      <c r="MZ49" s="15"/>
      <c r="NA49" s="15"/>
      <c r="NB49" s="15"/>
      <c r="NC49" s="15"/>
      <c r="ND49" s="15"/>
      <c r="NE49" s="15"/>
      <c r="NF49" s="15"/>
      <c r="NG49" s="15"/>
    </row>
    <row r="50" spans="1:371" ht="14.4">
      <c r="A50" s="15"/>
      <c r="B50" s="15"/>
      <c r="C50" s="283"/>
      <c r="D50" s="283"/>
      <c r="E50" s="108"/>
      <c r="F50" s="109" t="s">
        <v>837</v>
      </c>
      <c r="G50" s="108"/>
      <c r="H50" s="108"/>
      <c r="I50" s="109" t="s">
        <v>838</v>
      </c>
      <c r="J50" s="109" t="str">
        <f>MID(F50,2,3)</f>
        <v>ust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  <c r="IX50" s="15"/>
      <c r="IY50" s="15"/>
      <c r="IZ50" s="15"/>
      <c r="JA50" s="15"/>
      <c r="JB50" s="15"/>
      <c r="JC50" s="15"/>
      <c r="JD50" s="15"/>
      <c r="JE50" s="15"/>
      <c r="JF50" s="15"/>
      <c r="JG50" s="15"/>
      <c r="JH50" s="15"/>
      <c r="JI50" s="15"/>
      <c r="JJ50" s="15"/>
      <c r="JK50" s="15"/>
      <c r="JL50" s="15"/>
      <c r="JM50" s="15"/>
      <c r="JN50" s="15"/>
      <c r="JO50" s="15"/>
      <c r="JP50" s="15"/>
      <c r="JQ50" s="15"/>
      <c r="JR50" s="15"/>
      <c r="JS50" s="15"/>
      <c r="JT50" s="15"/>
      <c r="JU50" s="15"/>
      <c r="JV50" s="15"/>
      <c r="JW50" s="15"/>
      <c r="JX50" s="15"/>
      <c r="JY50" s="15"/>
      <c r="JZ50" s="15"/>
      <c r="KA50" s="15"/>
      <c r="KB50" s="15"/>
      <c r="KC50" s="15"/>
      <c r="KD50" s="15"/>
      <c r="KE50" s="15"/>
      <c r="KF50" s="15"/>
      <c r="KG50" s="15"/>
      <c r="KH50" s="15"/>
      <c r="KI50" s="15"/>
      <c r="KJ50" s="15"/>
      <c r="KK50" s="15"/>
      <c r="KL50" s="15"/>
      <c r="KM50" s="15"/>
      <c r="KN50" s="15"/>
      <c r="KO50" s="15"/>
      <c r="KP50" s="15"/>
      <c r="KQ50" s="15"/>
      <c r="KR50" s="15"/>
      <c r="KS50" s="15"/>
      <c r="KT50" s="15"/>
      <c r="KU50" s="15"/>
      <c r="KV50" s="15"/>
      <c r="KW50" s="15"/>
      <c r="KX50" s="15"/>
      <c r="KY50" s="15"/>
      <c r="KZ50" s="15"/>
      <c r="LA50" s="15"/>
      <c r="LB50" s="15"/>
      <c r="LC50" s="15"/>
      <c r="LD50" s="15"/>
      <c r="LE50" s="15"/>
      <c r="LF50" s="15"/>
      <c r="LG50" s="15"/>
      <c r="LH50" s="15"/>
      <c r="LI50" s="15"/>
      <c r="LJ50" s="15"/>
      <c r="LK50" s="15"/>
      <c r="LL50" s="15"/>
      <c r="LM50" s="15"/>
      <c r="LN50" s="15"/>
      <c r="LO50" s="15"/>
      <c r="LP50" s="15"/>
      <c r="LQ50" s="15"/>
      <c r="LR50" s="15"/>
      <c r="LS50" s="15"/>
      <c r="LT50" s="15"/>
      <c r="LU50" s="15"/>
      <c r="LV50" s="15"/>
      <c r="LW50" s="15"/>
      <c r="LX50" s="15"/>
      <c r="LY50" s="15"/>
      <c r="LZ50" s="15"/>
      <c r="MA50" s="15"/>
      <c r="MB50" s="15"/>
      <c r="MC50" s="15"/>
      <c r="MD50" s="15"/>
      <c r="ME50" s="15"/>
      <c r="MF50" s="15"/>
      <c r="MG50" s="15"/>
      <c r="MH50" s="15"/>
      <c r="MI50" s="15"/>
      <c r="MJ50" s="15"/>
      <c r="MK50" s="15"/>
      <c r="ML50" s="15"/>
      <c r="MM50" s="15"/>
      <c r="MN50" s="15"/>
      <c r="MO50" s="15"/>
      <c r="MP50" s="15"/>
      <c r="MQ50" s="15"/>
      <c r="MR50" s="15"/>
      <c r="MS50" s="15"/>
      <c r="MT50" s="15"/>
      <c r="MU50" s="15"/>
      <c r="MV50" s="15"/>
      <c r="MW50" s="15"/>
      <c r="MX50" s="15"/>
      <c r="MY50" s="15"/>
      <c r="MZ50" s="15"/>
      <c r="NA50" s="15"/>
      <c r="NB50" s="15"/>
      <c r="NC50" s="15"/>
      <c r="ND50" s="15"/>
      <c r="NE50" s="15"/>
      <c r="NF50" s="15"/>
      <c r="NG50" s="15"/>
    </row>
    <row r="51" spans="1:371" ht="14.4">
      <c r="A51" s="15"/>
      <c r="B51" s="15"/>
      <c r="C51" s="111"/>
      <c r="D51" s="111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  <c r="IX51" s="15"/>
      <c r="IY51" s="15"/>
      <c r="IZ51" s="15"/>
      <c r="JA51" s="15"/>
      <c r="JB51" s="15"/>
      <c r="JC51" s="15"/>
      <c r="JD51" s="15"/>
      <c r="JE51" s="15"/>
      <c r="JF51" s="15"/>
      <c r="JG51" s="15"/>
      <c r="JH51" s="15"/>
      <c r="JI51" s="15"/>
      <c r="JJ51" s="15"/>
      <c r="JK51" s="15"/>
      <c r="JL51" s="15"/>
      <c r="JM51" s="15"/>
      <c r="JN51" s="15"/>
      <c r="JO51" s="15"/>
      <c r="JP51" s="15"/>
      <c r="JQ51" s="15"/>
      <c r="JR51" s="15"/>
      <c r="JS51" s="15"/>
      <c r="JT51" s="15"/>
      <c r="JU51" s="15"/>
      <c r="JV51" s="15"/>
      <c r="JW51" s="15"/>
      <c r="JX51" s="15"/>
      <c r="JY51" s="15"/>
      <c r="JZ51" s="15"/>
      <c r="KA51" s="15"/>
      <c r="KB51" s="15"/>
      <c r="KC51" s="15"/>
      <c r="KD51" s="15"/>
      <c r="KE51" s="15"/>
      <c r="KF51" s="15"/>
      <c r="KG51" s="15"/>
      <c r="KH51" s="15"/>
      <c r="KI51" s="15"/>
      <c r="KJ51" s="15"/>
      <c r="KK51" s="15"/>
      <c r="KL51" s="15"/>
      <c r="KM51" s="15"/>
      <c r="KN51" s="15"/>
      <c r="KO51" s="15"/>
      <c r="KP51" s="15"/>
      <c r="KQ51" s="15"/>
      <c r="KR51" s="15"/>
      <c r="KS51" s="15"/>
      <c r="KT51" s="15"/>
      <c r="KU51" s="15"/>
      <c r="KV51" s="15"/>
      <c r="KW51" s="15"/>
      <c r="KX51" s="15"/>
      <c r="KY51" s="15"/>
      <c r="KZ51" s="15"/>
      <c r="LA51" s="15"/>
      <c r="LB51" s="15"/>
      <c r="LC51" s="15"/>
      <c r="LD51" s="15"/>
      <c r="LE51" s="15"/>
      <c r="LF51" s="15"/>
      <c r="LG51" s="15"/>
      <c r="LH51" s="15"/>
      <c r="LI51" s="15"/>
      <c r="LJ51" s="15"/>
      <c r="LK51" s="15"/>
      <c r="LL51" s="15"/>
      <c r="LM51" s="15"/>
      <c r="LN51" s="15"/>
      <c r="LO51" s="15"/>
      <c r="LP51" s="15"/>
      <c r="LQ51" s="15"/>
      <c r="LR51" s="15"/>
      <c r="LS51" s="15"/>
      <c r="LT51" s="15"/>
      <c r="LU51" s="15"/>
      <c r="LV51" s="15"/>
      <c r="LW51" s="15"/>
      <c r="LX51" s="15"/>
      <c r="LY51" s="15"/>
      <c r="LZ51" s="15"/>
      <c r="MA51" s="15"/>
      <c r="MB51" s="15"/>
      <c r="MC51" s="15"/>
      <c r="MD51" s="15"/>
      <c r="ME51" s="15"/>
      <c r="MF51" s="15"/>
      <c r="MG51" s="15"/>
      <c r="MH51" s="15"/>
      <c r="MI51" s="15"/>
      <c r="MJ51" s="15"/>
      <c r="MK51" s="15"/>
      <c r="ML51" s="15"/>
      <c r="MM51" s="15"/>
      <c r="MN51" s="15"/>
      <c r="MO51" s="15"/>
      <c r="MP51" s="15"/>
      <c r="MQ51" s="15"/>
      <c r="MR51" s="15"/>
      <c r="MS51" s="15"/>
      <c r="MT51" s="15"/>
      <c r="MU51" s="15"/>
      <c r="MV51" s="15"/>
      <c r="MW51" s="15"/>
      <c r="MX51" s="15"/>
      <c r="MY51" s="15"/>
      <c r="MZ51" s="15"/>
      <c r="NA51" s="15"/>
      <c r="NB51" s="15"/>
      <c r="NC51" s="15"/>
      <c r="ND51" s="15"/>
      <c r="NE51" s="15"/>
      <c r="NF51" s="15"/>
      <c r="NG51" s="15"/>
    </row>
    <row r="52" spans="1:371" ht="14.4">
      <c r="A52" s="15"/>
      <c r="B52" s="15"/>
      <c r="C52" s="290">
        <v>10</v>
      </c>
      <c r="D52" s="290" t="s">
        <v>79</v>
      </c>
      <c r="E52" s="117"/>
      <c r="F52" s="118" t="s">
        <v>839</v>
      </c>
      <c r="G52" s="117"/>
      <c r="H52" s="117"/>
      <c r="I52" s="118" t="s">
        <v>840</v>
      </c>
      <c r="J52" s="118" t="str">
        <f t="shared" ref="J52:J56" si="4">LOWER(F52)</f>
        <v>5sos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  <c r="IX52" s="15"/>
      <c r="IY52" s="15"/>
      <c r="IZ52" s="15"/>
      <c r="JA52" s="15"/>
      <c r="JB52" s="15"/>
      <c r="JC52" s="15"/>
      <c r="JD52" s="15"/>
      <c r="JE52" s="15"/>
      <c r="JF52" s="15"/>
      <c r="JG52" s="15"/>
      <c r="JH52" s="15"/>
      <c r="JI52" s="15"/>
      <c r="JJ52" s="15"/>
      <c r="JK52" s="15"/>
      <c r="JL52" s="15"/>
      <c r="JM52" s="15"/>
      <c r="JN52" s="15"/>
      <c r="JO52" s="15"/>
      <c r="JP52" s="15"/>
      <c r="JQ52" s="15"/>
      <c r="JR52" s="15"/>
      <c r="JS52" s="15"/>
      <c r="JT52" s="15"/>
      <c r="JU52" s="15"/>
      <c r="JV52" s="15"/>
      <c r="JW52" s="15"/>
      <c r="JX52" s="15"/>
      <c r="JY52" s="15"/>
      <c r="JZ52" s="15"/>
      <c r="KA52" s="15"/>
      <c r="KB52" s="15"/>
      <c r="KC52" s="15"/>
      <c r="KD52" s="15"/>
      <c r="KE52" s="15"/>
      <c r="KF52" s="15"/>
      <c r="KG52" s="15"/>
      <c r="KH52" s="15"/>
      <c r="KI52" s="15"/>
      <c r="KJ52" s="15"/>
      <c r="KK52" s="15"/>
      <c r="KL52" s="15"/>
      <c r="KM52" s="15"/>
      <c r="KN52" s="15"/>
      <c r="KO52" s="15"/>
      <c r="KP52" s="15"/>
      <c r="KQ52" s="15"/>
      <c r="KR52" s="15"/>
      <c r="KS52" s="15"/>
      <c r="KT52" s="15"/>
      <c r="KU52" s="15"/>
      <c r="KV52" s="15"/>
      <c r="KW52" s="15"/>
      <c r="KX52" s="15"/>
      <c r="KY52" s="15"/>
      <c r="KZ52" s="15"/>
      <c r="LA52" s="15"/>
      <c r="LB52" s="15"/>
      <c r="LC52" s="15"/>
      <c r="LD52" s="15"/>
      <c r="LE52" s="15"/>
      <c r="LF52" s="15"/>
      <c r="LG52" s="15"/>
      <c r="LH52" s="15"/>
      <c r="LI52" s="15"/>
      <c r="LJ52" s="15"/>
      <c r="LK52" s="15"/>
      <c r="LL52" s="15"/>
      <c r="LM52" s="15"/>
      <c r="LN52" s="15"/>
      <c r="LO52" s="15"/>
      <c r="LP52" s="15"/>
      <c r="LQ52" s="15"/>
      <c r="LR52" s="15"/>
      <c r="LS52" s="15"/>
      <c r="LT52" s="15"/>
      <c r="LU52" s="15"/>
      <c r="LV52" s="15"/>
      <c r="LW52" s="15"/>
      <c r="LX52" s="15"/>
      <c r="LY52" s="15"/>
      <c r="LZ52" s="15"/>
      <c r="MA52" s="15"/>
      <c r="MB52" s="15"/>
      <c r="MC52" s="15"/>
      <c r="MD52" s="15"/>
      <c r="ME52" s="15"/>
      <c r="MF52" s="15"/>
      <c r="MG52" s="15"/>
      <c r="MH52" s="15"/>
      <c r="MI52" s="15"/>
      <c r="MJ52" s="15"/>
      <c r="MK52" s="15"/>
      <c r="ML52" s="15"/>
      <c r="MM52" s="15"/>
      <c r="MN52" s="15"/>
      <c r="MO52" s="15"/>
      <c r="MP52" s="15"/>
      <c r="MQ52" s="15"/>
      <c r="MR52" s="15"/>
      <c r="MS52" s="15"/>
      <c r="MT52" s="15"/>
      <c r="MU52" s="15"/>
      <c r="MV52" s="15"/>
      <c r="MW52" s="15"/>
      <c r="MX52" s="15"/>
      <c r="MY52" s="15"/>
      <c r="MZ52" s="15"/>
      <c r="NA52" s="15"/>
      <c r="NB52" s="15"/>
      <c r="NC52" s="15"/>
      <c r="ND52" s="15"/>
      <c r="NE52" s="15"/>
      <c r="NF52" s="15"/>
      <c r="NG52" s="15"/>
    </row>
    <row r="53" spans="1:371" ht="14.4">
      <c r="A53" s="15"/>
      <c r="B53" s="15"/>
      <c r="C53" s="291"/>
      <c r="D53" s="291"/>
      <c r="E53" s="117"/>
      <c r="F53" s="118" t="s">
        <v>841</v>
      </c>
      <c r="G53" s="117"/>
      <c r="H53" s="117"/>
      <c r="I53" s="118" t="s">
        <v>842</v>
      </c>
      <c r="J53" s="118" t="str">
        <f t="shared" si="4"/>
        <v>better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  <c r="IX53" s="15"/>
      <c r="IY53" s="15"/>
      <c r="IZ53" s="15"/>
      <c r="JA53" s="15"/>
      <c r="JB53" s="15"/>
      <c r="JC53" s="15"/>
      <c r="JD53" s="15"/>
      <c r="JE53" s="15"/>
      <c r="JF53" s="15"/>
      <c r="JG53" s="15"/>
      <c r="JH53" s="15"/>
      <c r="JI53" s="15"/>
      <c r="JJ53" s="15"/>
      <c r="JK53" s="15"/>
      <c r="JL53" s="15"/>
      <c r="JM53" s="15"/>
      <c r="JN53" s="15"/>
      <c r="JO53" s="15"/>
      <c r="JP53" s="15"/>
      <c r="JQ53" s="15"/>
      <c r="JR53" s="15"/>
      <c r="JS53" s="15"/>
      <c r="JT53" s="15"/>
      <c r="JU53" s="15"/>
      <c r="JV53" s="15"/>
      <c r="JW53" s="15"/>
      <c r="JX53" s="15"/>
      <c r="JY53" s="15"/>
      <c r="JZ53" s="15"/>
      <c r="KA53" s="15"/>
      <c r="KB53" s="15"/>
      <c r="KC53" s="15"/>
      <c r="KD53" s="15"/>
      <c r="KE53" s="15"/>
      <c r="KF53" s="15"/>
      <c r="KG53" s="15"/>
      <c r="KH53" s="15"/>
      <c r="KI53" s="15"/>
      <c r="KJ53" s="15"/>
      <c r="KK53" s="15"/>
      <c r="KL53" s="15"/>
      <c r="KM53" s="15"/>
      <c r="KN53" s="15"/>
      <c r="KO53" s="15"/>
      <c r="KP53" s="15"/>
      <c r="KQ53" s="15"/>
      <c r="KR53" s="15"/>
      <c r="KS53" s="15"/>
      <c r="KT53" s="15"/>
      <c r="KU53" s="15"/>
      <c r="KV53" s="15"/>
      <c r="KW53" s="15"/>
      <c r="KX53" s="15"/>
      <c r="KY53" s="15"/>
      <c r="KZ53" s="15"/>
      <c r="LA53" s="15"/>
      <c r="LB53" s="15"/>
      <c r="LC53" s="15"/>
      <c r="LD53" s="15"/>
      <c r="LE53" s="15"/>
      <c r="LF53" s="15"/>
      <c r="LG53" s="15"/>
      <c r="LH53" s="15"/>
      <c r="LI53" s="15"/>
      <c r="LJ53" s="15"/>
      <c r="LK53" s="15"/>
      <c r="LL53" s="15"/>
      <c r="LM53" s="15"/>
      <c r="LN53" s="15"/>
      <c r="LO53" s="15"/>
      <c r="LP53" s="15"/>
      <c r="LQ53" s="15"/>
      <c r="LR53" s="15"/>
      <c r="LS53" s="15"/>
      <c r="LT53" s="15"/>
      <c r="LU53" s="15"/>
      <c r="LV53" s="15"/>
      <c r="LW53" s="15"/>
      <c r="LX53" s="15"/>
      <c r="LY53" s="15"/>
      <c r="LZ53" s="15"/>
      <c r="MA53" s="15"/>
      <c r="MB53" s="15"/>
      <c r="MC53" s="15"/>
      <c r="MD53" s="15"/>
      <c r="ME53" s="15"/>
      <c r="MF53" s="15"/>
      <c r="MG53" s="15"/>
      <c r="MH53" s="15"/>
      <c r="MI53" s="15"/>
      <c r="MJ53" s="15"/>
      <c r="MK53" s="15"/>
      <c r="ML53" s="15"/>
      <c r="MM53" s="15"/>
      <c r="MN53" s="15"/>
      <c r="MO53" s="15"/>
      <c r="MP53" s="15"/>
      <c r="MQ53" s="15"/>
      <c r="MR53" s="15"/>
      <c r="MS53" s="15"/>
      <c r="MT53" s="15"/>
      <c r="MU53" s="15"/>
      <c r="MV53" s="15"/>
      <c r="MW53" s="15"/>
      <c r="MX53" s="15"/>
      <c r="MY53" s="15"/>
      <c r="MZ53" s="15"/>
      <c r="NA53" s="15"/>
      <c r="NB53" s="15"/>
      <c r="NC53" s="15"/>
      <c r="ND53" s="15"/>
      <c r="NE53" s="15"/>
      <c r="NF53" s="15"/>
      <c r="NG53" s="15"/>
    </row>
    <row r="54" spans="1:371" ht="14.4">
      <c r="A54" s="15"/>
      <c r="B54" s="15"/>
      <c r="C54" s="291"/>
      <c r="D54" s="291"/>
      <c r="E54" s="117"/>
      <c r="F54" s="118" t="s">
        <v>843</v>
      </c>
      <c r="G54" s="117"/>
      <c r="H54" s="117"/>
      <c r="I54" s="118" t="s">
        <v>844</v>
      </c>
      <c r="J54" s="118" t="str">
        <f t="shared" si="4"/>
        <v>treat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  <c r="IX54" s="15"/>
      <c r="IY54" s="15"/>
      <c r="IZ54" s="15"/>
      <c r="JA54" s="15"/>
      <c r="JB54" s="15"/>
      <c r="JC54" s="15"/>
      <c r="JD54" s="15"/>
      <c r="JE54" s="15"/>
      <c r="JF54" s="15"/>
      <c r="JG54" s="15"/>
      <c r="JH54" s="15"/>
      <c r="JI54" s="15"/>
      <c r="JJ54" s="15"/>
      <c r="JK54" s="15"/>
      <c r="JL54" s="15"/>
      <c r="JM54" s="15"/>
      <c r="JN54" s="15"/>
      <c r="JO54" s="15"/>
      <c r="JP54" s="15"/>
      <c r="JQ54" s="15"/>
      <c r="JR54" s="15"/>
      <c r="JS54" s="15"/>
      <c r="JT54" s="15"/>
      <c r="JU54" s="15"/>
      <c r="JV54" s="15"/>
      <c r="JW54" s="15"/>
      <c r="JX54" s="15"/>
      <c r="JY54" s="15"/>
      <c r="JZ54" s="15"/>
      <c r="KA54" s="15"/>
      <c r="KB54" s="15"/>
      <c r="KC54" s="15"/>
      <c r="KD54" s="15"/>
      <c r="KE54" s="15"/>
      <c r="KF54" s="15"/>
      <c r="KG54" s="15"/>
      <c r="KH54" s="15"/>
      <c r="KI54" s="15"/>
      <c r="KJ54" s="15"/>
      <c r="KK54" s="15"/>
      <c r="KL54" s="15"/>
      <c r="KM54" s="15"/>
      <c r="KN54" s="15"/>
      <c r="KO54" s="15"/>
      <c r="KP54" s="15"/>
      <c r="KQ54" s="15"/>
      <c r="KR54" s="15"/>
      <c r="KS54" s="15"/>
      <c r="KT54" s="15"/>
      <c r="KU54" s="15"/>
      <c r="KV54" s="15"/>
      <c r="KW54" s="15"/>
      <c r="KX54" s="15"/>
      <c r="KY54" s="15"/>
      <c r="KZ54" s="15"/>
      <c r="LA54" s="15"/>
      <c r="LB54" s="15"/>
      <c r="LC54" s="15"/>
      <c r="LD54" s="15"/>
      <c r="LE54" s="15"/>
      <c r="LF54" s="15"/>
      <c r="LG54" s="15"/>
      <c r="LH54" s="15"/>
      <c r="LI54" s="15"/>
      <c r="LJ54" s="15"/>
      <c r="LK54" s="15"/>
      <c r="LL54" s="15"/>
      <c r="LM54" s="15"/>
      <c r="LN54" s="15"/>
      <c r="LO54" s="15"/>
      <c r="LP54" s="15"/>
      <c r="LQ54" s="15"/>
      <c r="LR54" s="15"/>
      <c r="LS54" s="15"/>
      <c r="LT54" s="15"/>
      <c r="LU54" s="15"/>
      <c r="LV54" s="15"/>
      <c r="LW54" s="15"/>
      <c r="LX54" s="15"/>
      <c r="LY54" s="15"/>
      <c r="LZ54" s="15"/>
      <c r="MA54" s="15"/>
      <c r="MB54" s="15"/>
      <c r="MC54" s="15"/>
      <c r="MD54" s="15"/>
      <c r="ME54" s="15"/>
      <c r="MF54" s="15"/>
      <c r="MG54" s="15"/>
      <c r="MH54" s="15"/>
      <c r="MI54" s="15"/>
      <c r="MJ54" s="15"/>
      <c r="MK54" s="15"/>
      <c r="ML54" s="15"/>
      <c r="MM54" s="15"/>
      <c r="MN54" s="15"/>
      <c r="MO54" s="15"/>
      <c r="MP54" s="15"/>
      <c r="MQ54" s="15"/>
      <c r="MR54" s="15"/>
      <c r="MS54" s="15"/>
      <c r="MT54" s="15"/>
      <c r="MU54" s="15"/>
      <c r="MV54" s="15"/>
      <c r="MW54" s="15"/>
      <c r="MX54" s="15"/>
      <c r="MY54" s="15"/>
      <c r="MZ54" s="15"/>
      <c r="NA54" s="15"/>
      <c r="NB54" s="15"/>
      <c r="NC54" s="15"/>
      <c r="ND54" s="15"/>
      <c r="NE54" s="15"/>
      <c r="NF54" s="15"/>
      <c r="NG54" s="15"/>
    </row>
    <row r="55" spans="1:371" ht="14.4">
      <c r="A55" s="15"/>
      <c r="B55" s="15"/>
      <c r="C55" s="291"/>
      <c r="D55" s="291"/>
      <c r="E55" s="117"/>
      <c r="F55" s="118" t="s">
        <v>845</v>
      </c>
      <c r="G55" s="117"/>
      <c r="H55" s="117"/>
      <c r="I55" s="118" t="s">
        <v>846</v>
      </c>
      <c r="J55" s="118" t="str">
        <f t="shared" si="4"/>
        <v>he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  <c r="IX55" s="15"/>
      <c r="IY55" s="15"/>
      <c r="IZ55" s="15"/>
      <c r="JA55" s="15"/>
      <c r="JB55" s="15"/>
      <c r="JC55" s="15"/>
      <c r="JD55" s="15"/>
      <c r="JE55" s="15"/>
      <c r="JF55" s="15"/>
      <c r="JG55" s="15"/>
      <c r="JH55" s="15"/>
      <c r="JI55" s="15"/>
      <c r="JJ55" s="15"/>
      <c r="JK55" s="15"/>
      <c r="JL55" s="15"/>
      <c r="JM55" s="15"/>
      <c r="JN55" s="15"/>
      <c r="JO55" s="15"/>
      <c r="JP55" s="15"/>
      <c r="JQ55" s="15"/>
      <c r="JR55" s="15"/>
      <c r="JS55" s="15"/>
      <c r="JT55" s="15"/>
      <c r="JU55" s="15"/>
      <c r="JV55" s="15"/>
      <c r="JW55" s="15"/>
      <c r="JX55" s="15"/>
      <c r="JY55" s="15"/>
      <c r="JZ55" s="15"/>
      <c r="KA55" s="15"/>
      <c r="KB55" s="15"/>
      <c r="KC55" s="15"/>
      <c r="KD55" s="15"/>
      <c r="KE55" s="15"/>
      <c r="KF55" s="15"/>
      <c r="KG55" s="15"/>
      <c r="KH55" s="15"/>
      <c r="KI55" s="15"/>
      <c r="KJ55" s="15"/>
      <c r="KK55" s="15"/>
      <c r="KL55" s="15"/>
      <c r="KM55" s="15"/>
      <c r="KN55" s="15"/>
      <c r="KO55" s="15"/>
      <c r="KP55" s="15"/>
      <c r="KQ55" s="15"/>
      <c r="KR55" s="15"/>
      <c r="KS55" s="15"/>
      <c r="KT55" s="15"/>
      <c r="KU55" s="15"/>
      <c r="KV55" s="15"/>
      <c r="KW55" s="15"/>
      <c r="KX55" s="15"/>
      <c r="KY55" s="15"/>
      <c r="KZ55" s="15"/>
      <c r="LA55" s="15"/>
      <c r="LB55" s="15"/>
      <c r="LC55" s="15"/>
      <c r="LD55" s="15"/>
      <c r="LE55" s="15"/>
      <c r="LF55" s="15"/>
      <c r="LG55" s="15"/>
      <c r="LH55" s="15"/>
      <c r="LI55" s="15"/>
      <c r="LJ55" s="15"/>
      <c r="LK55" s="15"/>
      <c r="LL55" s="15"/>
      <c r="LM55" s="15"/>
      <c r="LN55" s="15"/>
      <c r="LO55" s="15"/>
      <c r="LP55" s="15"/>
      <c r="LQ55" s="15"/>
      <c r="LR55" s="15"/>
      <c r="LS55" s="15"/>
      <c r="LT55" s="15"/>
      <c r="LU55" s="15"/>
      <c r="LV55" s="15"/>
      <c r="LW55" s="15"/>
      <c r="LX55" s="15"/>
      <c r="LY55" s="15"/>
      <c r="LZ55" s="15"/>
      <c r="MA55" s="15"/>
      <c r="MB55" s="15"/>
      <c r="MC55" s="15"/>
      <c r="MD55" s="15"/>
      <c r="ME55" s="15"/>
      <c r="MF55" s="15"/>
      <c r="MG55" s="15"/>
      <c r="MH55" s="15"/>
      <c r="MI55" s="15"/>
      <c r="MJ55" s="15"/>
      <c r="MK55" s="15"/>
      <c r="ML55" s="15"/>
      <c r="MM55" s="15"/>
      <c r="MN55" s="15"/>
      <c r="MO55" s="15"/>
      <c r="MP55" s="15"/>
      <c r="MQ55" s="15"/>
      <c r="MR55" s="15"/>
      <c r="MS55" s="15"/>
      <c r="MT55" s="15"/>
      <c r="MU55" s="15"/>
      <c r="MV55" s="15"/>
      <c r="MW55" s="15"/>
      <c r="MX55" s="15"/>
      <c r="MY55" s="15"/>
      <c r="MZ55" s="15"/>
      <c r="NA55" s="15"/>
      <c r="NB55" s="15"/>
      <c r="NC55" s="15"/>
      <c r="ND55" s="15"/>
      <c r="NE55" s="15"/>
      <c r="NF55" s="15"/>
      <c r="NG55" s="15"/>
    </row>
    <row r="56" spans="1:371" ht="14.4">
      <c r="A56" s="15"/>
      <c r="B56" s="15"/>
      <c r="C56" s="283"/>
      <c r="D56" s="283"/>
      <c r="E56" s="117"/>
      <c r="F56" s="118" t="s">
        <v>847</v>
      </c>
      <c r="G56" s="117"/>
      <c r="H56" s="117"/>
      <c r="I56" s="118" t="s">
        <v>848</v>
      </c>
      <c r="J56" s="118" t="str">
        <f t="shared" si="4"/>
        <v>large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  <c r="IT56" s="15"/>
      <c r="IU56" s="15"/>
      <c r="IV56" s="15"/>
      <c r="IW56" s="15"/>
      <c r="IX56" s="15"/>
      <c r="IY56" s="15"/>
      <c r="IZ56" s="15"/>
      <c r="JA56" s="15"/>
      <c r="JB56" s="15"/>
      <c r="JC56" s="15"/>
      <c r="JD56" s="15"/>
      <c r="JE56" s="15"/>
      <c r="JF56" s="15"/>
      <c r="JG56" s="15"/>
      <c r="JH56" s="15"/>
      <c r="JI56" s="15"/>
      <c r="JJ56" s="15"/>
      <c r="JK56" s="15"/>
      <c r="JL56" s="15"/>
      <c r="JM56" s="15"/>
      <c r="JN56" s="15"/>
      <c r="JO56" s="15"/>
      <c r="JP56" s="15"/>
      <c r="JQ56" s="15"/>
      <c r="JR56" s="15"/>
      <c r="JS56" s="15"/>
      <c r="JT56" s="15"/>
      <c r="JU56" s="15"/>
      <c r="JV56" s="15"/>
      <c r="JW56" s="15"/>
      <c r="JX56" s="15"/>
      <c r="JY56" s="15"/>
      <c r="JZ56" s="15"/>
      <c r="KA56" s="15"/>
      <c r="KB56" s="15"/>
      <c r="KC56" s="15"/>
      <c r="KD56" s="15"/>
      <c r="KE56" s="15"/>
      <c r="KF56" s="15"/>
      <c r="KG56" s="15"/>
      <c r="KH56" s="15"/>
      <c r="KI56" s="15"/>
      <c r="KJ56" s="15"/>
      <c r="KK56" s="15"/>
      <c r="KL56" s="15"/>
      <c r="KM56" s="15"/>
      <c r="KN56" s="15"/>
      <c r="KO56" s="15"/>
      <c r="KP56" s="15"/>
      <c r="KQ56" s="15"/>
      <c r="KR56" s="15"/>
      <c r="KS56" s="15"/>
      <c r="KT56" s="15"/>
      <c r="KU56" s="15"/>
      <c r="KV56" s="15"/>
      <c r="KW56" s="15"/>
      <c r="KX56" s="15"/>
      <c r="KY56" s="15"/>
      <c r="KZ56" s="15"/>
      <c r="LA56" s="15"/>
      <c r="LB56" s="15"/>
      <c r="LC56" s="15"/>
      <c r="LD56" s="15"/>
      <c r="LE56" s="15"/>
      <c r="LF56" s="15"/>
      <c r="LG56" s="15"/>
      <c r="LH56" s="15"/>
      <c r="LI56" s="15"/>
      <c r="LJ56" s="15"/>
      <c r="LK56" s="15"/>
      <c r="LL56" s="15"/>
      <c r="LM56" s="15"/>
      <c r="LN56" s="15"/>
      <c r="LO56" s="15"/>
      <c r="LP56" s="15"/>
      <c r="LQ56" s="15"/>
      <c r="LR56" s="15"/>
      <c r="LS56" s="15"/>
      <c r="LT56" s="15"/>
      <c r="LU56" s="15"/>
      <c r="LV56" s="15"/>
      <c r="LW56" s="15"/>
      <c r="LX56" s="15"/>
      <c r="LY56" s="15"/>
      <c r="LZ56" s="15"/>
      <c r="MA56" s="15"/>
      <c r="MB56" s="15"/>
      <c r="MC56" s="15"/>
      <c r="MD56" s="15"/>
      <c r="ME56" s="15"/>
      <c r="MF56" s="15"/>
      <c r="MG56" s="15"/>
      <c r="MH56" s="15"/>
      <c r="MI56" s="15"/>
      <c r="MJ56" s="15"/>
      <c r="MK56" s="15"/>
      <c r="ML56" s="15"/>
      <c r="MM56" s="15"/>
      <c r="MN56" s="15"/>
      <c r="MO56" s="15"/>
      <c r="MP56" s="15"/>
      <c r="MQ56" s="15"/>
      <c r="MR56" s="15"/>
      <c r="MS56" s="15"/>
      <c r="MT56" s="15"/>
      <c r="MU56" s="15"/>
      <c r="MV56" s="15"/>
      <c r="MW56" s="15"/>
      <c r="MX56" s="15"/>
      <c r="MY56" s="15"/>
      <c r="MZ56" s="15"/>
      <c r="NA56" s="15"/>
      <c r="NB56" s="15"/>
      <c r="NC56" s="15"/>
      <c r="ND56" s="15"/>
      <c r="NE56" s="15"/>
      <c r="NF56" s="15"/>
      <c r="NG56" s="15"/>
    </row>
    <row r="57" spans="1:371" ht="14.4">
      <c r="A57" s="15"/>
      <c r="B57" s="15"/>
      <c r="C57" s="111"/>
      <c r="D57" s="111"/>
      <c r="E57" s="15"/>
      <c r="F57" s="113"/>
      <c r="G57" s="15"/>
      <c r="H57" s="15"/>
      <c r="I57" s="113"/>
      <c r="J57" s="113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  <c r="IX57" s="15"/>
      <c r="IY57" s="15"/>
      <c r="IZ57" s="15"/>
      <c r="JA57" s="15"/>
      <c r="JB57" s="15"/>
      <c r="JC57" s="15"/>
      <c r="JD57" s="15"/>
      <c r="JE57" s="15"/>
      <c r="JF57" s="15"/>
      <c r="JG57" s="15"/>
      <c r="JH57" s="15"/>
      <c r="JI57" s="15"/>
      <c r="JJ57" s="15"/>
      <c r="JK57" s="15"/>
      <c r="JL57" s="15"/>
      <c r="JM57" s="15"/>
      <c r="JN57" s="15"/>
      <c r="JO57" s="15"/>
      <c r="JP57" s="15"/>
      <c r="JQ57" s="15"/>
      <c r="JR57" s="15"/>
      <c r="JS57" s="15"/>
      <c r="JT57" s="15"/>
      <c r="JU57" s="15"/>
      <c r="JV57" s="15"/>
      <c r="JW57" s="15"/>
      <c r="JX57" s="15"/>
      <c r="JY57" s="15"/>
      <c r="JZ57" s="15"/>
      <c r="KA57" s="15"/>
      <c r="KB57" s="15"/>
      <c r="KC57" s="15"/>
      <c r="KD57" s="15"/>
      <c r="KE57" s="15"/>
      <c r="KF57" s="15"/>
      <c r="KG57" s="15"/>
      <c r="KH57" s="15"/>
      <c r="KI57" s="15"/>
      <c r="KJ57" s="15"/>
      <c r="KK57" s="15"/>
      <c r="KL57" s="15"/>
      <c r="KM57" s="15"/>
      <c r="KN57" s="15"/>
      <c r="KO57" s="15"/>
      <c r="KP57" s="15"/>
      <c r="KQ57" s="15"/>
      <c r="KR57" s="15"/>
      <c r="KS57" s="15"/>
      <c r="KT57" s="15"/>
      <c r="KU57" s="15"/>
      <c r="KV57" s="15"/>
      <c r="KW57" s="15"/>
      <c r="KX57" s="15"/>
      <c r="KY57" s="15"/>
      <c r="KZ57" s="15"/>
      <c r="LA57" s="15"/>
      <c r="LB57" s="15"/>
      <c r="LC57" s="15"/>
      <c r="LD57" s="15"/>
      <c r="LE57" s="15"/>
      <c r="LF57" s="15"/>
      <c r="LG57" s="15"/>
      <c r="LH57" s="15"/>
      <c r="LI57" s="15"/>
      <c r="LJ57" s="15"/>
      <c r="LK57" s="15"/>
      <c r="LL57" s="15"/>
      <c r="LM57" s="15"/>
      <c r="LN57" s="15"/>
      <c r="LO57" s="15"/>
      <c r="LP57" s="15"/>
      <c r="LQ57" s="15"/>
      <c r="LR57" s="15"/>
      <c r="LS57" s="15"/>
      <c r="LT57" s="15"/>
      <c r="LU57" s="15"/>
      <c r="LV57" s="15"/>
      <c r="LW57" s="15"/>
      <c r="LX57" s="15"/>
      <c r="LY57" s="15"/>
      <c r="LZ57" s="15"/>
      <c r="MA57" s="15"/>
      <c r="MB57" s="15"/>
      <c r="MC57" s="15"/>
      <c r="MD57" s="15"/>
      <c r="ME57" s="15"/>
      <c r="MF57" s="15"/>
      <c r="MG57" s="15"/>
      <c r="MH57" s="15"/>
      <c r="MI57" s="15"/>
      <c r="MJ57" s="15"/>
      <c r="MK57" s="15"/>
      <c r="ML57" s="15"/>
      <c r="MM57" s="15"/>
      <c r="MN57" s="15"/>
      <c r="MO57" s="15"/>
      <c r="MP57" s="15"/>
      <c r="MQ57" s="15"/>
      <c r="MR57" s="15"/>
      <c r="MS57" s="15"/>
      <c r="MT57" s="15"/>
      <c r="MU57" s="15"/>
      <c r="MV57" s="15"/>
      <c r="MW57" s="15"/>
      <c r="MX57" s="15"/>
      <c r="MY57" s="15"/>
      <c r="MZ57" s="15"/>
      <c r="NA57" s="15"/>
      <c r="NB57" s="15"/>
      <c r="NC57" s="15"/>
      <c r="ND57" s="15"/>
      <c r="NE57" s="15"/>
      <c r="NF57" s="15"/>
      <c r="NG57" s="15"/>
    </row>
    <row r="58" spans="1:371" ht="14.4">
      <c r="A58" s="15"/>
      <c r="B58" s="15"/>
      <c r="C58" s="290">
        <v>11</v>
      </c>
      <c r="D58" s="290" t="s">
        <v>134</v>
      </c>
      <c r="E58" s="108"/>
      <c r="F58" s="109" t="s">
        <v>849</v>
      </c>
      <c r="G58" s="108"/>
      <c r="H58" s="108"/>
      <c r="I58" s="109" t="s">
        <v>850</v>
      </c>
      <c r="J58" s="109" t="str">
        <f t="shared" ref="J58:J62" si="5">UPPER(F58)</f>
        <v>RIGHT</v>
      </c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  <c r="IX58" s="15"/>
      <c r="IY58" s="15"/>
      <c r="IZ58" s="15"/>
      <c r="JA58" s="15"/>
      <c r="JB58" s="15"/>
      <c r="JC58" s="15"/>
      <c r="JD58" s="15"/>
      <c r="JE58" s="15"/>
      <c r="JF58" s="15"/>
      <c r="JG58" s="15"/>
      <c r="JH58" s="15"/>
      <c r="JI58" s="15"/>
      <c r="JJ58" s="15"/>
      <c r="JK58" s="15"/>
      <c r="JL58" s="15"/>
      <c r="JM58" s="15"/>
      <c r="JN58" s="15"/>
      <c r="JO58" s="15"/>
      <c r="JP58" s="15"/>
      <c r="JQ58" s="15"/>
      <c r="JR58" s="15"/>
      <c r="JS58" s="15"/>
      <c r="JT58" s="15"/>
      <c r="JU58" s="15"/>
      <c r="JV58" s="15"/>
      <c r="JW58" s="15"/>
      <c r="JX58" s="15"/>
      <c r="JY58" s="15"/>
      <c r="JZ58" s="15"/>
      <c r="KA58" s="15"/>
      <c r="KB58" s="15"/>
      <c r="KC58" s="15"/>
      <c r="KD58" s="15"/>
      <c r="KE58" s="15"/>
      <c r="KF58" s="15"/>
      <c r="KG58" s="15"/>
      <c r="KH58" s="15"/>
      <c r="KI58" s="15"/>
      <c r="KJ58" s="15"/>
      <c r="KK58" s="15"/>
      <c r="KL58" s="15"/>
      <c r="KM58" s="15"/>
      <c r="KN58" s="15"/>
      <c r="KO58" s="15"/>
      <c r="KP58" s="15"/>
      <c r="KQ58" s="15"/>
      <c r="KR58" s="15"/>
      <c r="KS58" s="15"/>
      <c r="KT58" s="15"/>
      <c r="KU58" s="15"/>
      <c r="KV58" s="15"/>
      <c r="KW58" s="15"/>
      <c r="KX58" s="15"/>
      <c r="KY58" s="15"/>
      <c r="KZ58" s="15"/>
      <c r="LA58" s="15"/>
      <c r="LB58" s="15"/>
      <c r="LC58" s="15"/>
      <c r="LD58" s="15"/>
      <c r="LE58" s="15"/>
      <c r="LF58" s="15"/>
      <c r="LG58" s="15"/>
      <c r="LH58" s="15"/>
      <c r="LI58" s="15"/>
      <c r="LJ58" s="15"/>
      <c r="LK58" s="15"/>
      <c r="LL58" s="15"/>
      <c r="LM58" s="15"/>
      <c r="LN58" s="15"/>
      <c r="LO58" s="15"/>
      <c r="LP58" s="15"/>
      <c r="LQ58" s="15"/>
      <c r="LR58" s="15"/>
      <c r="LS58" s="15"/>
      <c r="LT58" s="15"/>
      <c r="LU58" s="15"/>
      <c r="LV58" s="15"/>
      <c r="LW58" s="15"/>
      <c r="LX58" s="15"/>
      <c r="LY58" s="15"/>
      <c r="LZ58" s="15"/>
      <c r="MA58" s="15"/>
      <c r="MB58" s="15"/>
      <c r="MC58" s="15"/>
      <c r="MD58" s="15"/>
      <c r="ME58" s="15"/>
      <c r="MF58" s="15"/>
      <c r="MG58" s="15"/>
      <c r="MH58" s="15"/>
      <c r="MI58" s="15"/>
      <c r="MJ58" s="15"/>
      <c r="MK58" s="15"/>
      <c r="ML58" s="15"/>
      <c r="MM58" s="15"/>
      <c r="MN58" s="15"/>
      <c r="MO58" s="15"/>
      <c r="MP58" s="15"/>
      <c r="MQ58" s="15"/>
      <c r="MR58" s="15"/>
      <c r="MS58" s="15"/>
      <c r="MT58" s="15"/>
      <c r="MU58" s="15"/>
      <c r="MV58" s="15"/>
      <c r="MW58" s="15"/>
      <c r="MX58" s="15"/>
      <c r="MY58" s="15"/>
      <c r="MZ58" s="15"/>
      <c r="NA58" s="15"/>
      <c r="NB58" s="15"/>
      <c r="NC58" s="15"/>
      <c r="ND58" s="15"/>
      <c r="NE58" s="15"/>
      <c r="NF58" s="15"/>
      <c r="NG58" s="15"/>
    </row>
    <row r="59" spans="1:371" ht="14.4">
      <c r="A59" s="15"/>
      <c r="B59" s="15"/>
      <c r="C59" s="291"/>
      <c r="D59" s="291"/>
      <c r="E59" s="108"/>
      <c r="F59" s="109" t="s">
        <v>851</v>
      </c>
      <c r="G59" s="108"/>
      <c r="H59" s="108"/>
      <c r="I59" s="109" t="s">
        <v>852</v>
      </c>
      <c r="J59" s="109" t="str">
        <f t="shared" si="5"/>
        <v>FELL-UP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  <c r="IV59" s="15"/>
      <c r="IW59" s="15"/>
      <c r="IX59" s="15"/>
      <c r="IY59" s="15"/>
      <c r="IZ59" s="15"/>
      <c r="JA59" s="15"/>
      <c r="JB59" s="15"/>
      <c r="JC59" s="15"/>
      <c r="JD59" s="15"/>
      <c r="JE59" s="15"/>
      <c r="JF59" s="15"/>
      <c r="JG59" s="15"/>
      <c r="JH59" s="15"/>
      <c r="JI59" s="15"/>
      <c r="JJ59" s="15"/>
      <c r="JK59" s="15"/>
      <c r="JL59" s="15"/>
      <c r="JM59" s="15"/>
      <c r="JN59" s="15"/>
      <c r="JO59" s="15"/>
      <c r="JP59" s="15"/>
      <c r="JQ59" s="15"/>
      <c r="JR59" s="15"/>
      <c r="JS59" s="15"/>
      <c r="JT59" s="15"/>
      <c r="JU59" s="15"/>
      <c r="JV59" s="15"/>
      <c r="JW59" s="15"/>
      <c r="JX59" s="15"/>
      <c r="JY59" s="15"/>
      <c r="JZ59" s="15"/>
      <c r="KA59" s="15"/>
      <c r="KB59" s="15"/>
      <c r="KC59" s="15"/>
      <c r="KD59" s="15"/>
      <c r="KE59" s="15"/>
      <c r="KF59" s="15"/>
      <c r="KG59" s="15"/>
      <c r="KH59" s="15"/>
      <c r="KI59" s="15"/>
      <c r="KJ59" s="15"/>
      <c r="KK59" s="15"/>
      <c r="KL59" s="15"/>
      <c r="KM59" s="15"/>
      <c r="KN59" s="15"/>
      <c r="KO59" s="15"/>
      <c r="KP59" s="15"/>
      <c r="KQ59" s="15"/>
      <c r="KR59" s="15"/>
      <c r="KS59" s="15"/>
      <c r="KT59" s="15"/>
      <c r="KU59" s="15"/>
      <c r="KV59" s="15"/>
      <c r="KW59" s="15"/>
      <c r="KX59" s="15"/>
      <c r="KY59" s="15"/>
      <c r="KZ59" s="15"/>
      <c r="LA59" s="15"/>
      <c r="LB59" s="15"/>
      <c r="LC59" s="15"/>
      <c r="LD59" s="15"/>
      <c r="LE59" s="15"/>
      <c r="LF59" s="15"/>
      <c r="LG59" s="15"/>
      <c r="LH59" s="15"/>
      <c r="LI59" s="15"/>
      <c r="LJ59" s="15"/>
      <c r="LK59" s="15"/>
      <c r="LL59" s="15"/>
      <c r="LM59" s="15"/>
      <c r="LN59" s="15"/>
      <c r="LO59" s="15"/>
      <c r="LP59" s="15"/>
      <c r="LQ59" s="15"/>
      <c r="LR59" s="15"/>
      <c r="LS59" s="15"/>
      <c r="LT59" s="15"/>
      <c r="LU59" s="15"/>
      <c r="LV59" s="15"/>
      <c r="LW59" s="15"/>
      <c r="LX59" s="15"/>
      <c r="LY59" s="15"/>
      <c r="LZ59" s="15"/>
      <c r="MA59" s="15"/>
      <c r="MB59" s="15"/>
      <c r="MC59" s="15"/>
      <c r="MD59" s="15"/>
      <c r="ME59" s="15"/>
      <c r="MF59" s="15"/>
      <c r="MG59" s="15"/>
      <c r="MH59" s="15"/>
      <c r="MI59" s="15"/>
      <c r="MJ59" s="15"/>
      <c r="MK59" s="15"/>
      <c r="ML59" s="15"/>
      <c r="MM59" s="15"/>
      <c r="MN59" s="15"/>
      <c r="MO59" s="15"/>
      <c r="MP59" s="15"/>
      <c r="MQ59" s="15"/>
      <c r="MR59" s="15"/>
      <c r="MS59" s="15"/>
      <c r="MT59" s="15"/>
      <c r="MU59" s="15"/>
      <c r="MV59" s="15"/>
      <c r="MW59" s="15"/>
      <c r="MX59" s="15"/>
      <c r="MY59" s="15"/>
      <c r="MZ59" s="15"/>
      <c r="NA59" s="15"/>
      <c r="NB59" s="15"/>
      <c r="NC59" s="15"/>
      <c r="ND59" s="15"/>
      <c r="NE59" s="15"/>
      <c r="NF59" s="15"/>
      <c r="NG59" s="15"/>
    </row>
    <row r="60" spans="1:371" ht="14.4">
      <c r="A60" s="15"/>
      <c r="B60" s="15"/>
      <c r="C60" s="291"/>
      <c r="D60" s="291"/>
      <c r="E60" s="108"/>
      <c r="F60" s="109" t="s">
        <v>853</v>
      </c>
      <c r="G60" s="108"/>
      <c r="H60" s="108"/>
      <c r="I60" s="109" t="s">
        <v>854</v>
      </c>
      <c r="J60" s="109" t="str">
        <f t="shared" si="5"/>
        <v>ATTENTION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  <c r="IV60" s="15"/>
      <c r="IW60" s="15"/>
      <c r="IX60" s="15"/>
      <c r="IY60" s="15"/>
      <c r="IZ60" s="15"/>
      <c r="JA60" s="15"/>
      <c r="JB60" s="15"/>
      <c r="JC60" s="15"/>
      <c r="JD60" s="15"/>
      <c r="JE60" s="15"/>
      <c r="JF60" s="15"/>
      <c r="JG60" s="15"/>
      <c r="JH60" s="15"/>
      <c r="JI60" s="15"/>
      <c r="JJ60" s="15"/>
      <c r="JK60" s="15"/>
      <c r="JL60" s="15"/>
      <c r="JM60" s="15"/>
      <c r="JN60" s="15"/>
      <c r="JO60" s="15"/>
      <c r="JP60" s="15"/>
      <c r="JQ60" s="15"/>
      <c r="JR60" s="15"/>
      <c r="JS60" s="15"/>
      <c r="JT60" s="15"/>
      <c r="JU60" s="15"/>
      <c r="JV60" s="15"/>
      <c r="JW60" s="15"/>
      <c r="JX60" s="15"/>
      <c r="JY60" s="15"/>
      <c r="JZ60" s="15"/>
      <c r="KA60" s="15"/>
      <c r="KB60" s="15"/>
      <c r="KC60" s="15"/>
      <c r="KD60" s="15"/>
      <c r="KE60" s="15"/>
      <c r="KF60" s="15"/>
      <c r="KG60" s="15"/>
      <c r="KH60" s="15"/>
      <c r="KI60" s="15"/>
      <c r="KJ60" s="15"/>
      <c r="KK60" s="15"/>
      <c r="KL60" s="15"/>
      <c r="KM60" s="15"/>
      <c r="KN60" s="15"/>
      <c r="KO60" s="15"/>
      <c r="KP60" s="15"/>
      <c r="KQ60" s="15"/>
      <c r="KR60" s="15"/>
      <c r="KS60" s="15"/>
      <c r="KT60" s="15"/>
      <c r="KU60" s="15"/>
      <c r="KV60" s="15"/>
      <c r="KW60" s="15"/>
      <c r="KX60" s="15"/>
      <c r="KY60" s="15"/>
      <c r="KZ60" s="15"/>
      <c r="LA60" s="15"/>
      <c r="LB60" s="15"/>
      <c r="LC60" s="15"/>
      <c r="LD60" s="15"/>
      <c r="LE60" s="15"/>
      <c r="LF60" s="15"/>
      <c r="LG60" s="15"/>
      <c r="LH60" s="15"/>
      <c r="LI60" s="15"/>
      <c r="LJ60" s="15"/>
      <c r="LK60" s="15"/>
      <c r="LL60" s="15"/>
      <c r="LM60" s="15"/>
      <c r="LN60" s="15"/>
      <c r="LO60" s="15"/>
      <c r="LP60" s="15"/>
      <c r="LQ60" s="15"/>
      <c r="LR60" s="15"/>
      <c r="LS60" s="15"/>
      <c r="LT60" s="15"/>
      <c r="LU60" s="15"/>
      <c r="LV60" s="15"/>
      <c r="LW60" s="15"/>
      <c r="LX60" s="15"/>
      <c r="LY60" s="15"/>
      <c r="LZ60" s="15"/>
      <c r="MA60" s="15"/>
      <c r="MB60" s="15"/>
      <c r="MC60" s="15"/>
      <c r="MD60" s="15"/>
      <c r="ME60" s="15"/>
      <c r="MF60" s="15"/>
      <c r="MG60" s="15"/>
      <c r="MH60" s="15"/>
      <c r="MI60" s="15"/>
      <c r="MJ60" s="15"/>
      <c r="MK60" s="15"/>
      <c r="ML60" s="15"/>
      <c r="MM60" s="15"/>
      <c r="MN60" s="15"/>
      <c r="MO60" s="15"/>
      <c r="MP60" s="15"/>
      <c r="MQ60" s="15"/>
      <c r="MR60" s="15"/>
      <c r="MS60" s="15"/>
      <c r="MT60" s="15"/>
      <c r="MU60" s="15"/>
      <c r="MV60" s="15"/>
      <c r="MW60" s="15"/>
      <c r="MX60" s="15"/>
      <c r="MY60" s="15"/>
      <c r="MZ60" s="15"/>
      <c r="NA60" s="15"/>
      <c r="NB60" s="15"/>
      <c r="NC60" s="15"/>
      <c r="ND60" s="15"/>
      <c r="NE60" s="15"/>
      <c r="NF60" s="15"/>
      <c r="NG60" s="15"/>
    </row>
    <row r="61" spans="1:371" ht="14.4">
      <c r="A61" s="15"/>
      <c r="B61" s="15"/>
      <c r="C61" s="291"/>
      <c r="D61" s="291"/>
      <c r="E61" s="108"/>
      <c r="F61" s="109" t="s">
        <v>855</v>
      </c>
      <c r="G61" s="108"/>
      <c r="H61" s="108"/>
      <c r="I61" s="109" t="s">
        <v>856</v>
      </c>
      <c r="J61" s="109" t="str">
        <f t="shared" si="5"/>
        <v>DUMB</v>
      </c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  <c r="IX61" s="15"/>
      <c r="IY61" s="15"/>
      <c r="IZ61" s="15"/>
      <c r="JA61" s="15"/>
      <c r="JB61" s="15"/>
      <c r="JC61" s="15"/>
      <c r="JD61" s="15"/>
      <c r="JE61" s="15"/>
      <c r="JF61" s="15"/>
      <c r="JG61" s="15"/>
      <c r="JH61" s="15"/>
      <c r="JI61" s="15"/>
      <c r="JJ61" s="15"/>
      <c r="JK61" s="15"/>
      <c r="JL61" s="15"/>
      <c r="JM61" s="15"/>
      <c r="JN61" s="15"/>
      <c r="JO61" s="15"/>
      <c r="JP61" s="15"/>
      <c r="JQ61" s="15"/>
      <c r="JR61" s="15"/>
      <c r="JS61" s="15"/>
      <c r="JT61" s="15"/>
      <c r="JU61" s="15"/>
      <c r="JV61" s="15"/>
      <c r="JW61" s="15"/>
      <c r="JX61" s="15"/>
      <c r="JY61" s="15"/>
      <c r="JZ61" s="15"/>
      <c r="KA61" s="15"/>
      <c r="KB61" s="15"/>
      <c r="KC61" s="15"/>
      <c r="KD61" s="15"/>
      <c r="KE61" s="15"/>
      <c r="KF61" s="15"/>
      <c r="KG61" s="15"/>
      <c r="KH61" s="15"/>
      <c r="KI61" s="15"/>
      <c r="KJ61" s="15"/>
      <c r="KK61" s="15"/>
      <c r="KL61" s="15"/>
      <c r="KM61" s="15"/>
      <c r="KN61" s="15"/>
      <c r="KO61" s="15"/>
      <c r="KP61" s="15"/>
      <c r="KQ61" s="15"/>
      <c r="KR61" s="15"/>
      <c r="KS61" s="15"/>
      <c r="KT61" s="15"/>
      <c r="KU61" s="15"/>
      <c r="KV61" s="15"/>
      <c r="KW61" s="15"/>
      <c r="KX61" s="15"/>
      <c r="KY61" s="15"/>
      <c r="KZ61" s="15"/>
      <c r="LA61" s="15"/>
      <c r="LB61" s="15"/>
      <c r="LC61" s="15"/>
      <c r="LD61" s="15"/>
      <c r="LE61" s="15"/>
      <c r="LF61" s="15"/>
      <c r="LG61" s="15"/>
      <c r="LH61" s="15"/>
      <c r="LI61" s="15"/>
      <c r="LJ61" s="15"/>
      <c r="LK61" s="15"/>
      <c r="LL61" s="15"/>
      <c r="LM61" s="15"/>
      <c r="LN61" s="15"/>
      <c r="LO61" s="15"/>
      <c r="LP61" s="15"/>
      <c r="LQ61" s="15"/>
      <c r="LR61" s="15"/>
      <c r="LS61" s="15"/>
      <c r="LT61" s="15"/>
      <c r="LU61" s="15"/>
      <c r="LV61" s="15"/>
      <c r="LW61" s="15"/>
      <c r="LX61" s="15"/>
      <c r="LY61" s="15"/>
      <c r="LZ61" s="15"/>
      <c r="MA61" s="15"/>
      <c r="MB61" s="15"/>
      <c r="MC61" s="15"/>
      <c r="MD61" s="15"/>
      <c r="ME61" s="15"/>
      <c r="MF61" s="15"/>
      <c r="MG61" s="15"/>
      <c r="MH61" s="15"/>
      <c r="MI61" s="15"/>
      <c r="MJ61" s="15"/>
      <c r="MK61" s="15"/>
      <c r="ML61" s="15"/>
      <c r="MM61" s="15"/>
      <c r="MN61" s="15"/>
      <c r="MO61" s="15"/>
      <c r="MP61" s="15"/>
      <c r="MQ61" s="15"/>
      <c r="MR61" s="15"/>
      <c r="MS61" s="15"/>
      <c r="MT61" s="15"/>
      <c r="MU61" s="15"/>
      <c r="MV61" s="15"/>
      <c r="MW61" s="15"/>
      <c r="MX61" s="15"/>
      <c r="MY61" s="15"/>
      <c r="MZ61" s="15"/>
      <c r="NA61" s="15"/>
      <c r="NB61" s="15"/>
      <c r="NC61" s="15"/>
      <c r="ND61" s="15"/>
      <c r="NE61" s="15"/>
      <c r="NF61" s="15"/>
      <c r="NG61" s="15"/>
    </row>
    <row r="62" spans="1:371" ht="14.4">
      <c r="A62" s="15"/>
      <c r="B62" s="15"/>
      <c r="C62" s="283"/>
      <c r="D62" s="283"/>
      <c r="E62" s="108"/>
      <c r="F62" s="109" t="s">
        <v>857</v>
      </c>
      <c r="G62" s="108"/>
      <c r="H62" s="108"/>
      <c r="I62" s="109" t="s">
        <v>858</v>
      </c>
      <c r="J62" s="109" t="str">
        <f t="shared" si="5"/>
        <v>SEA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  <c r="IX62" s="15"/>
      <c r="IY62" s="15"/>
      <c r="IZ62" s="15"/>
      <c r="JA62" s="15"/>
      <c r="JB62" s="15"/>
      <c r="JC62" s="15"/>
      <c r="JD62" s="15"/>
      <c r="JE62" s="15"/>
      <c r="JF62" s="15"/>
      <c r="JG62" s="15"/>
      <c r="JH62" s="15"/>
      <c r="JI62" s="15"/>
      <c r="JJ62" s="15"/>
      <c r="JK62" s="15"/>
      <c r="JL62" s="15"/>
      <c r="JM62" s="15"/>
      <c r="JN62" s="15"/>
      <c r="JO62" s="15"/>
      <c r="JP62" s="15"/>
      <c r="JQ62" s="15"/>
      <c r="JR62" s="15"/>
      <c r="JS62" s="15"/>
      <c r="JT62" s="15"/>
      <c r="JU62" s="15"/>
      <c r="JV62" s="15"/>
      <c r="JW62" s="15"/>
      <c r="JX62" s="15"/>
      <c r="JY62" s="15"/>
      <c r="JZ62" s="15"/>
      <c r="KA62" s="15"/>
      <c r="KB62" s="15"/>
      <c r="KC62" s="15"/>
      <c r="KD62" s="15"/>
      <c r="KE62" s="15"/>
      <c r="KF62" s="15"/>
      <c r="KG62" s="15"/>
      <c r="KH62" s="15"/>
      <c r="KI62" s="15"/>
      <c r="KJ62" s="15"/>
      <c r="KK62" s="15"/>
      <c r="KL62" s="15"/>
      <c r="KM62" s="15"/>
      <c r="KN62" s="15"/>
      <c r="KO62" s="15"/>
      <c r="KP62" s="15"/>
      <c r="KQ62" s="15"/>
      <c r="KR62" s="15"/>
      <c r="KS62" s="15"/>
      <c r="KT62" s="15"/>
      <c r="KU62" s="15"/>
      <c r="KV62" s="15"/>
      <c r="KW62" s="15"/>
      <c r="KX62" s="15"/>
      <c r="KY62" s="15"/>
      <c r="KZ62" s="15"/>
      <c r="LA62" s="15"/>
      <c r="LB62" s="15"/>
      <c r="LC62" s="15"/>
      <c r="LD62" s="15"/>
      <c r="LE62" s="15"/>
      <c r="LF62" s="15"/>
      <c r="LG62" s="15"/>
      <c r="LH62" s="15"/>
      <c r="LI62" s="15"/>
      <c r="LJ62" s="15"/>
      <c r="LK62" s="15"/>
      <c r="LL62" s="15"/>
      <c r="LM62" s="15"/>
      <c r="LN62" s="15"/>
      <c r="LO62" s="15"/>
      <c r="LP62" s="15"/>
      <c r="LQ62" s="15"/>
      <c r="LR62" s="15"/>
      <c r="LS62" s="15"/>
      <c r="LT62" s="15"/>
      <c r="LU62" s="15"/>
      <c r="LV62" s="15"/>
      <c r="LW62" s="15"/>
      <c r="LX62" s="15"/>
      <c r="LY62" s="15"/>
      <c r="LZ62" s="15"/>
      <c r="MA62" s="15"/>
      <c r="MB62" s="15"/>
      <c r="MC62" s="15"/>
      <c r="MD62" s="15"/>
      <c r="ME62" s="15"/>
      <c r="MF62" s="15"/>
      <c r="MG62" s="15"/>
      <c r="MH62" s="15"/>
      <c r="MI62" s="15"/>
      <c r="MJ62" s="15"/>
      <c r="MK62" s="15"/>
      <c r="ML62" s="15"/>
      <c r="MM62" s="15"/>
      <c r="MN62" s="15"/>
      <c r="MO62" s="15"/>
      <c r="MP62" s="15"/>
      <c r="MQ62" s="15"/>
      <c r="MR62" s="15"/>
      <c r="MS62" s="15"/>
      <c r="MT62" s="15"/>
      <c r="MU62" s="15"/>
      <c r="MV62" s="15"/>
      <c r="MW62" s="15"/>
      <c r="MX62" s="15"/>
      <c r="MY62" s="15"/>
      <c r="MZ62" s="15"/>
      <c r="NA62" s="15"/>
      <c r="NB62" s="15"/>
      <c r="NC62" s="15"/>
      <c r="ND62" s="15"/>
      <c r="NE62" s="15"/>
      <c r="NF62" s="15"/>
      <c r="NG62" s="15"/>
    </row>
    <row r="63" spans="1:371" ht="14.4">
      <c r="A63" s="15"/>
      <c r="B63" s="15"/>
      <c r="C63" s="111"/>
      <c r="D63" s="111"/>
      <c r="E63" s="15"/>
      <c r="F63" s="113"/>
      <c r="G63" s="15"/>
      <c r="H63" s="15"/>
      <c r="I63" s="113"/>
      <c r="J63" s="113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  <c r="IX63" s="15"/>
      <c r="IY63" s="15"/>
      <c r="IZ63" s="15"/>
      <c r="JA63" s="15"/>
      <c r="JB63" s="15"/>
      <c r="JC63" s="15"/>
      <c r="JD63" s="15"/>
      <c r="JE63" s="15"/>
      <c r="JF63" s="15"/>
      <c r="JG63" s="15"/>
      <c r="JH63" s="15"/>
      <c r="JI63" s="15"/>
      <c r="JJ63" s="15"/>
      <c r="JK63" s="15"/>
      <c r="JL63" s="15"/>
      <c r="JM63" s="15"/>
      <c r="JN63" s="15"/>
      <c r="JO63" s="15"/>
      <c r="JP63" s="15"/>
      <c r="JQ63" s="15"/>
      <c r="JR63" s="15"/>
      <c r="JS63" s="15"/>
      <c r="JT63" s="15"/>
      <c r="JU63" s="15"/>
      <c r="JV63" s="15"/>
      <c r="JW63" s="15"/>
      <c r="JX63" s="15"/>
      <c r="JY63" s="15"/>
      <c r="JZ63" s="15"/>
      <c r="KA63" s="15"/>
      <c r="KB63" s="15"/>
      <c r="KC63" s="15"/>
      <c r="KD63" s="15"/>
      <c r="KE63" s="15"/>
      <c r="KF63" s="15"/>
      <c r="KG63" s="15"/>
      <c r="KH63" s="15"/>
      <c r="KI63" s="15"/>
      <c r="KJ63" s="15"/>
      <c r="KK63" s="15"/>
      <c r="KL63" s="15"/>
      <c r="KM63" s="15"/>
      <c r="KN63" s="15"/>
      <c r="KO63" s="15"/>
      <c r="KP63" s="15"/>
      <c r="KQ63" s="15"/>
      <c r="KR63" s="15"/>
      <c r="KS63" s="15"/>
      <c r="KT63" s="15"/>
      <c r="KU63" s="15"/>
      <c r="KV63" s="15"/>
      <c r="KW63" s="15"/>
      <c r="KX63" s="15"/>
      <c r="KY63" s="15"/>
      <c r="KZ63" s="15"/>
      <c r="LA63" s="15"/>
      <c r="LB63" s="15"/>
      <c r="LC63" s="15"/>
      <c r="LD63" s="15"/>
      <c r="LE63" s="15"/>
      <c r="LF63" s="15"/>
      <c r="LG63" s="15"/>
      <c r="LH63" s="15"/>
      <c r="LI63" s="15"/>
      <c r="LJ63" s="15"/>
      <c r="LK63" s="15"/>
      <c r="LL63" s="15"/>
      <c r="LM63" s="15"/>
      <c r="LN63" s="15"/>
      <c r="LO63" s="15"/>
      <c r="LP63" s="15"/>
      <c r="LQ63" s="15"/>
      <c r="LR63" s="15"/>
      <c r="LS63" s="15"/>
      <c r="LT63" s="15"/>
      <c r="LU63" s="15"/>
      <c r="LV63" s="15"/>
      <c r="LW63" s="15"/>
      <c r="LX63" s="15"/>
      <c r="LY63" s="15"/>
      <c r="LZ63" s="15"/>
      <c r="MA63" s="15"/>
      <c r="MB63" s="15"/>
      <c r="MC63" s="15"/>
      <c r="MD63" s="15"/>
      <c r="ME63" s="15"/>
      <c r="MF63" s="15"/>
      <c r="MG63" s="15"/>
      <c r="MH63" s="15"/>
      <c r="MI63" s="15"/>
      <c r="MJ63" s="15"/>
      <c r="MK63" s="15"/>
      <c r="ML63" s="15"/>
      <c r="MM63" s="15"/>
      <c r="MN63" s="15"/>
      <c r="MO63" s="15"/>
      <c r="MP63" s="15"/>
      <c r="MQ63" s="15"/>
      <c r="MR63" s="15"/>
      <c r="MS63" s="15"/>
      <c r="MT63" s="15"/>
      <c r="MU63" s="15"/>
      <c r="MV63" s="15"/>
      <c r="MW63" s="15"/>
      <c r="MX63" s="15"/>
      <c r="MY63" s="15"/>
      <c r="MZ63" s="15"/>
      <c r="NA63" s="15"/>
      <c r="NB63" s="15"/>
      <c r="NC63" s="15"/>
      <c r="ND63" s="15"/>
      <c r="NE63" s="15"/>
      <c r="NF63" s="15"/>
      <c r="NG63" s="15"/>
    </row>
    <row r="64" spans="1:371" ht="14.4">
      <c r="A64" s="15"/>
      <c r="B64" s="15"/>
      <c r="C64" s="290">
        <v>12</v>
      </c>
      <c r="D64" s="290" t="s">
        <v>68</v>
      </c>
      <c r="E64" s="108"/>
      <c r="F64" s="109" t="s">
        <v>859</v>
      </c>
      <c r="G64" s="108"/>
      <c r="H64" s="108"/>
      <c r="I64" s="109" t="s">
        <v>860</v>
      </c>
      <c r="J64" s="115">
        <f t="shared" ref="J64:J68" si="6">LEN(F64)</f>
        <v>5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  <c r="IX64" s="15"/>
      <c r="IY64" s="15"/>
      <c r="IZ64" s="15"/>
      <c r="JA64" s="15"/>
      <c r="JB64" s="15"/>
      <c r="JC64" s="15"/>
      <c r="JD64" s="15"/>
      <c r="JE64" s="15"/>
      <c r="JF64" s="15"/>
      <c r="JG64" s="15"/>
      <c r="JH64" s="15"/>
      <c r="JI64" s="15"/>
      <c r="JJ64" s="15"/>
      <c r="JK64" s="15"/>
      <c r="JL64" s="15"/>
      <c r="JM64" s="15"/>
      <c r="JN64" s="15"/>
      <c r="JO64" s="15"/>
      <c r="JP64" s="15"/>
      <c r="JQ64" s="15"/>
      <c r="JR64" s="15"/>
      <c r="JS64" s="15"/>
      <c r="JT64" s="15"/>
      <c r="JU64" s="15"/>
      <c r="JV64" s="15"/>
      <c r="JW64" s="15"/>
      <c r="JX64" s="15"/>
      <c r="JY64" s="15"/>
      <c r="JZ64" s="15"/>
      <c r="KA64" s="15"/>
      <c r="KB64" s="15"/>
      <c r="KC64" s="15"/>
      <c r="KD64" s="15"/>
      <c r="KE64" s="15"/>
      <c r="KF64" s="15"/>
      <c r="KG64" s="15"/>
      <c r="KH64" s="15"/>
      <c r="KI64" s="15"/>
      <c r="KJ64" s="15"/>
      <c r="KK64" s="15"/>
      <c r="KL64" s="15"/>
      <c r="KM64" s="15"/>
      <c r="KN64" s="15"/>
      <c r="KO64" s="15"/>
      <c r="KP64" s="15"/>
      <c r="KQ64" s="15"/>
      <c r="KR64" s="15"/>
      <c r="KS64" s="15"/>
      <c r="KT64" s="15"/>
      <c r="KU64" s="15"/>
      <c r="KV64" s="15"/>
      <c r="KW64" s="15"/>
      <c r="KX64" s="15"/>
      <c r="KY64" s="15"/>
      <c r="KZ64" s="15"/>
      <c r="LA64" s="15"/>
      <c r="LB64" s="15"/>
      <c r="LC64" s="15"/>
      <c r="LD64" s="15"/>
      <c r="LE64" s="15"/>
      <c r="LF64" s="15"/>
      <c r="LG64" s="15"/>
      <c r="LH64" s="15"/>
      <c r="LI64" s="15"/>
      <c r="LJ64" s="15"/>
      <c r="LK64" s="15"/>
      <c r="LL64" s="15"/>
      <c r="LM64" s="15"/>
      <c r="LN64" s="15"/>
      <c r="LO64" s="15"/>
      <c r="LP64" s="15"/>
      <c r="LQ64" s="15"/>
      <c r="LR64" s="15"/>
      <c r="LS64" s="15"/>
      <c r="LT64" s="15"/>
      <c r="LU64" s="15"/>
      <c r="LV64" s="15"/>
      <c r="LW64" s="15"/>
      <c r="LX64" s="15"/>
      <c r="LY64" s="15"/>
      <c r="LZ64" s="15"/>
      <c r="MA64" s="15"/>
      <c r="MB64" s="15"/>
      <c r="MC64" s="15"/>
      <c r="MD64" s="15"/>
      <c r="ME64" s="15"/>
      <c r="MF64" s="15"/>
      <c r="MG64" s="15"/>
      <c r="MH64" s="15"/>
      <c r="MI64" s="15"/>
      <c r="MJ64" s="15"/>
      <c r="MK64" s="15"/>
      <c r="ML64" s="15"/>
      <c r="MM64" s="15"/>
      <c r="MN64" s="15"/>
      <c r="MO64" s="15"/>
      <c r="MP64" s="15"/>
      <c r="MQ64" s="15"/>
      <c r="MR64" s="15"/>
      <c r="MS64" s="15"/>
      <c r="MT64" s="15"/>
      <c r="MU64" s="15"/>
      <c r="MV64" s="15"/>
      <c r="MW64" s="15"/>
      <c r="MX64" s="15"/>
      <c r="MY64" s="15"/>
      <c r="MZ64" s="15"/>
      <c r="NA64" s="15"/>
      <c r="NB64" s="15"/>
      <c r="NC64" s="15"/>
      <c r="ND64" s="15"/>
      <c r="NE64" s="15"/>
      <c r="NF64" s="15"/>
      <c r="NG64" s="15"/>
    </row>
    <row r="65" spans="1:371" ht="14.4">
      <c r="A65" s="15"/>
      <c r="B65" s="15"/>
      <c r="C65" s="291"/>
      <c r="D65" s="291"/>
      <c r="E65" s="108"/>
      <c r="F65" s="109" t="s">
        <v>861</v>
      </c>
      <c r="G65" s="108"/>
      <c r="H65" s="108"/>
      <c r="I65" s="109" t="s">
        <v>862</v>
      </c>
      <c r="J65" s="115">
        <f t="shared" si="6"/>
        <v>13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  <c r="IV65" s="15"/>
      <c r="IW65" s="15"/>
      <c r="IX65" s="15"/>
      <c r="IY65" s="15"/>
      <c r="IZ65" s="15"/>
      <c r="JA65" s="15"/>
      <c r="JB65" s="15"/>
      <c r="JC65" s="15"/>
      <c r="JD65" s="15"/>
      <c r="JE65" s="15"/>
      <c r="JF65" s="15"/>
      <c r="JG65" s="15"/>
      <c r="JH65" s="15"/>
      <c r="JI65" s="15"/>
      <c r="JJ65" s="15"/>
      <c r="JK65" s="15"/>
      <c r="JL65" s="15"/>
      <c r="JM65" s="15"/>
      <c r="JN65" s="15"/>
      <c r="JO65" s="15"/>
      <c r="JP65" s="15"/>
      <c r="JQ65" s="15"/>
      <c r="JR65" s="15"/>
      <c r="JS65" s="15"/>
      <c r="JT65" s="15"/>
      <c r="JU65" s="15"/>
      <c r="JV65" s="15"/>
      <c r="JW65" s="15"/>
      <c r="JX65" s="15"/>
      <c r="JY65" s="15"/>
      <c r="JZ65" s="15"/>
      <c r="KA65" s="15"/>
      <c r="KB65" s="15"/>
      <c r="KC65" s="15"/>
      <c r="KD65" s="15"/>
      <c r="KE65" s="15"/>
      <c r="KF65" s="15"/>
      <c r="KG65" s="15"/>
      <c r="KH65" s="15"/>
      <c r="KI65" s="15"/>
      <c r="KJ65" s="15"/>
      <c r="KK65" s="15"/>
      <c r="KL65" s="15"/>
      <c r="KM65" s="15"/>
      <c r="KN65" s="15"/>
      <c r="KO65" s="15"/>
      <c r="KP65" s="15"/>
      <c r="KQ65" s="15"/>
      <c r="KR65" s="15"/>
      <c r="KS65" s="15"/>
      <c r="KT65" s="15"/>
      <c r="KU65" s="15"/>
      <c r="KV65" s="15"/>
      <c r="KW65" s="15"/>
      <c r="KX65" s="15"/>
      <c r="KY65" s="15"/>
      <c r="KZ65" s="15"/>
      <c r="LA65" s="15"/>
      <c r="LB65" s="15"/>
      <c r="LC65" s="15"/>
      <c r="LD65" s="15"/>
      <c r="LE65" s="15"/>
      <c r="LF65" s="15"/>
      <c r="LG65" s="15"/>
      <c r="LH65" s="15"/>
      <c r="LI65" s="15"/>
      <c r="LJ65" s="15"/>
      <c r="LK65" s="15"/>
      <c r="LL65" s="15"/>
      <c r="LM65" s="15"/>
      <c r="LN65" s="15"/>
      <c r="LO65" s="15"/>
      <c r="LP65" s="15"/>
      <c r="LQ65" s="15"/>
      <c r="LR65" s="15"/>
      <c r="LS65" s="15"/>
      <c r="LT65" s="15"/>
      <c r="LU65" s="15"/>
      <c r="LV65" s="15"/>
      <c r="LW65" s="15"/>
      <c r="LX65" s="15"/>
      <c r="LY65" s="15"/>
      <c r="LZ65" s="15"/>
      <c r="MA65" s="15"/>
      <c r="MB65" s="15"/>
      <c r="MC65" s="15"/>
      <c r="MD65" s="15"/>
      <c r="ME65" s="15"/>
      <c r="MF65" s="15"/>
      <c r="MG65" s="15"/>
      <c r="MH65" s="15"/>
      <c r="MI65" s="15"/>
      <c r="MJ65" s="15"/>
      <c r="MK65" s="15"/>
      <c r="ML65" s="15"/>
      <c r="MM65" s="15"/>
      <c r="MN65" s="15"/>
      <c r="MO65" s="15"/>
      <c r="MP65" s="15"/>
      <c r="MQ65" s="15"/>
      <c r="MR65" s="15"/>
      <c r="MS65" s="15"/>
      <c r="MT65" s="15"/>
      <c r="MU65" s="15"/>
      <c r="MV65" s="15"/>
      <c r="MW65" s="15"/>
      <c r="MX65" s="15"/>
      <c r="MY65" s="15"/>
      <c r="MZ65" s="15"/>
      <c r="NA65" s="15"/>
      <c r="NB65" s="15"/>
      <c r="NC65" s="15"/>
      <c r="ND65" s="15"/>
      <c r="NE65" s="15"/>
      <c r="NF65" s="15"/>
      <c r="NG65" s="15"/>
    </row>
    <row r="66" spans="1:371" ht="14.4">
      <c r="A66" s="15"/>
      <c r="B66" s="15"/>
      <c r="C66" s="291"/>
      <c r="D66" s="291"/>
      <c r="E66" s="108"/>
      <c r="F66" s="109" t="s">
        <v>863</v>
      </c>
      <c r="G66" s="108"/>
      <c r="H66" s="108"/>
      <c r="I66" s="109" t="s">
        <v>864</v>
      </c>
      <c r="J66" s="115">
        <f t="shared" si="6"/>
        <v>3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  <c r="IT66" s="15"/>
      <c r="IU66" s="15"/>
      <c r="IV66" s="15"/>
      <c r="IW66" s="15"/>
      <c r="IX66" s="15"/>
      <c r="IY66" s="15"/>
      <c r="IZ66" s="15"/>
      <c r="JA66" s="15"/>
      <c r="JB66" s="15"/>
      <c r="JC66" s="15"/>
      <c r="JD66" s="15"/>
      <c r="JE66" s="15"/>
      <c r="JF66" s="15"/>
      <c r="JG66" s="15"/>
      <c r="JH66" s="15"/>
      <c r="JI66" s="15"/>
      <c r="JJ66" s="15"/>
      <c r="JK66" s="15"/>
      <c r="JL66" s="15"/>
      <c r="JM66" s="15"/>
      <c r="JN66" s="15"/>
      <c r="JO66" s="15"/>
      <c r="JP66" s="15"/>
      <c r="JQ66" s="15"/>
      <c r="JR66" s="15"/>
      <c r="JS66" s="15"/>
      <c r="JT66" s="15"/>
      <c r="JU66" s="15"/>
      <c r="JV66" s="15"/>
      <c r="JW66" s="15"/>
      <c r="JX66" s="15"/>
      <c r="JY66" s="15"/>
      <c r="JZ66" s="15"/>
      <c r="KA66" s="15"/>
      <c r="KB66" s="15"/>
      <c r="KC66" s="15"/>
      <c r="KD66" s="15"/>
      <c r="KE66" s="15"/>
      <c r="KF66" s="15"/>
      <c r="KG66" s="15"/>
      <c r="KH66" s="15"/>
      <c r="KI66" s="15"/>
      <c r="KJ66" s="15"/>
      <c r="KK66" s="15"/>
      <c r="KL66" s="15"/>
      <c r="KM66" s="15"/>
      <c r="KN66" s="15"/>
      <c r="KO66" s="15"/>
      <c r="KP66" s="15"/>
      <c r="KQ66" s="15"/>
      <c r="KR66" s="15"/>
      <c r="KS66" s="15"/>
      <c r="KT66" s="15"/>
      <c r="KU66" s="15"/>
      <c r="KV66" s="15"/>
      <c r="KW66" s="15"/>
      <c r="KX66" s="15"/>
      <c r="KY66" s="15"/>
      <c r="KZ66" s="15"/>
      <c r="LA66" s="15"/>
      <c r="LB66" s="15"/>
      <c r="LC66" s="15"/>
      <c r="LD66" s="15"/>
      <c r="LE66" s="15"/>
      <c r="LF66" s="15"/>
      <c r="LG66" s="15"/>
      <c r="LH66" s="15"/>
      <c r="LI66" s="15"/>
      <c r="LJ66" s="15"/>
      <c r="LK66" s="15"/>
      <c r="LL66" s="15"/>
      <c r="LM66" s="15"/>
      <c r="LN66" s="15"/>
      <c r="LO66" s="15"/>
      <c r="LP66" s="15"/>
      <c r="LQ66" s="15"/>
      <c r="LR66" s="15"/>
      <c r="LS66" s="15"/>
      <c r="LT66" s="15"/>
      <c r="LU66" s="15"/>
      <c r="LV66" s="15"/>
      <c r="LW66" s="15"/>
      <c r="LX66" s="15"/>
      <c r="LY66" s="15"/>
      <c r="LZ66" s="15"/>
      <c r="MA66" s="15"/>
      <c r="MB66" s="15"/>
      <c r="MC66" s="15"/>
      <c r="MD66" s="15"/>
      <c r="ME66" s="15"/>
      <c r="MF66" s="15"/>
      <c r="MG66" s="15"/>
      <c r="MH66" s="15"/>
      <c r="MI66" s="15"/>
      <c r="MJ66" s="15"/>
      <c r="MK66" s="15"/>
      <c r="ML66" s="15"/>
      <c r="MM66" s="15"/>
      <c r="MN66" s="15"/>
      <c r="MO66" s="15"/>
      <c r="MP66" s="15"/>
      <c r="MQ66" s="15"/>
      <c r="MR66" s="15"/>
      <c r="MS66" s="15"/>
      <c r="MT66" s="15"/>
      <c r="MU66" s="15"/>
      <c r="MV66" s="15"/>
      <c r="MW66" s="15"/>
      <c r="MX66" s="15"/>
      <c r="MY66" s="15"/>
      <c r="MZ66" s="15"/>
      <c r="NA66" s="15"/>
      <c r="NB66" s="15"/>
      <c r="NC66" s="15"/>
      <c r="ND66" s="15"/>
      <c r="NE66" s="15"/>
      <c r="NF66" s="15"/>
      <c r="NG66" s="15"/>
    </row>
    <row r="67" spans="1:371" ht="14.4">
      <c r="A67" s="15"/>
      <c r="B67" s="15"/>
      <c r="C67" s="291"/>
      <c r="D67" s="291"/>
      <c r="E67" s="108"/>
      <c r="F67" s="109" t="s">
        <v>865</v>
      </c>
      <c r="G67" s="108"/>
      <c r="H67" s="108"/>
      <c r="I67" s="109" t="s">
        <v>866</v>
      </c>
      <c r="J67" s="115">
        <f t="shared" si="6"/>
        <v>9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  <c r="IT67" s="15"/>
      <c r="IU67" s="15"/>
      <c r="IV67" s="15"/>
      <c r="IW67" s="15"/>
      <c r="IX67" s="15"/>
      <c r="IY67" s="15"/>
      <c r="IZ67" s="15"/>
      <c r="JA67" s="15"/>
      <c r="JB67" s="15"/>
      <c r="JC67" s="15"/>
      <c r="JD67" s="15"/>
      <c r="JE67" s="15"/>
      <c r="JF67" s="15"/>
      <c r="JG67" s="15"/>
      <c r="JH67" s="15"/>
      <c r="JI67" s="15"/>
      <c r="JJ67" s="15"/>
      <c r="JK67" s="15"/>
      <c r="JL67" s="15"/>
      <c r="JM67" s="15"/>
      <c r="JN67" s="15"/>
      <c r="JO67" s="15"/>
      <c r="JP67" s="15"/>
      <c r="JQ67" s="15"/>
      <c r="JR67" s="15"/>
      <c r="JS67" s="15"/>
      <c r="JT67" s="15"/>
      <c r="JU67" s="15"/>
      <c r="JV67" s="15"/>
      <c r="JW67" s="15"/>
      <c r="JX67" s="15"/>
      <c r="JY67" s="15"/>
      <c r="JZ67" s="15"/>
      <c r="KA67" s="15"/>
      <c r="KB67" s="15"/>
      <c r="KC67" s="15"/>
      <c r="KD67" s="15"/>
      <c r="KE67" s="15"/>
      <c r="KF67" s="15"/>
      <c r="KG67" s="15"/>
      <c r="KH67" s="15"/>
      <c r="KI67" s="15"/>
      <c r="KJ67" s="15"/>
      <c r="KK67" s="15"/>
      <c r="KL67" s="15"/>
      <c r="KM67" s="15"/>
      <c r="KN67" s="15"/>
      <c r="KO67" s="15"/>
      <c r="KP67" s="15"/>
      <c r="KQ67" s="15"/>
      <c r="KR67" s="15"/>
      <c r="KS67" s="15"/>
      <c r="KT67" s="15"/>
      <c r="KU67" s="15"/>
      <c r="KV67" s="15"/>
      <c r="KW67" s="15"/>
      <c r="KX67" s="15"/>
      <c r="KY67" s="15"/>
      <c r="KZ67" s="15"/>
      <c r="LA67" s="15"/>
      <c r="LB67" s="15"/>
      <c r="LC67" s="15"/>
      <c r="LD67" s="15"/>
      <c r="LE67" s="15"/>
      <c r="LF67" s="15"/>
      <c r="LG67" s="15"/>
      <c r="LH67" s="15"/>
      <c r="LI67" s="15"/>
      <c r="LJ67" s="15"/>
      <c r="LK67" s="15"/>
      <c r="LL67" s="15"/>
      <c r="LM67" s="15"/>
      <c r="LN67" s="15"/>
      <c r="LO67" s="15"/>
      <c r="LP67" s="15"/>
      <c r="LQ67" s="15"/>
      <c r="LR67" s="15"/>
      <c r="LS67" s="15"/>
      <c r="LT67" s="15"/>
      <c r="LU67" s="15"/>
      <c r="LV67" s="15"/>
      <c r="LW67" s="15"/>
      <c r="LX67" s="15"/>
      <c r="LY67" s="15"/>
      <c r="LZ67" s="15"/>
      <c r="MA67" s="15"/>
      <c r="MB67" s="15"/>
      <c r="MC67" s="15"/>
      <c r="MD67" s="15"/>
      <c r="ME67" s="15"/>
      <c r="MF67" s="15"/>
      <c r="MG67" s="15"/>
      <c r="MH67" s="15"/>
      <c r="MI67" s="15"/>
      <c r="MJ67" s="15"/>
      <c r="MK67" s="15"/>
      <c r="ML67" s="15"/>
      <c r="MM67" s="15"/>
      <c r="MN67" s="15"/>
      <c r="MO67" s="15"/>
      <c r="MP67" s="15"/>
      <c r="MQ67" s="15"/>
      <c r="MR67" s="15"/>
      <c r="MS67" s="15"/>
      <c r="MT67" s="15"/>
      <c r="MU67" s="15"/>
      <c r="MV67" s="15"/>
      <c r="MW67" s="15"/>
      <c r="MX67" s="15"/>
      <c r="MY67" s="15"/>
      <c r="MZ67" s="15"/>
      <c r="NA67" s="15"/>
      <c r="NB67" s="15"/>
      <c r="NC67" s="15"/>
      <c r="ND67" s="15"/>
      <c r="NE67" s="15"/>
      <c r="NF67" s="15"/>
      <c r="NG67" s="15"/>
    </row>
    <row r="68" spans="1:371" ht="14.4">
      <c r="A68" s="15"/>
      <c r="B68" s="15"/>
      <c r="C68" s="283"/>
      <c r="D68" s="283"/>
      <c r="E68" s="108"/>
      <c r="F68" s="109" t="s">
        <v>867</v>
      </c>
      <c r="G68" s="108"/>
      <c r="H68" s="108"/>
      <c r="I68" s="109" t="s">
        <v>868</v>
      </c>
      <c r="J68" s="115">
        <f t="shared" si="6"/>
        <v>4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  <c r="IV68" s="15"/>
      <c r="IW68" s="15"/>
      <c r="IX68" s="15"/>
      <c r="IY68" s="15"/>
      <c r="IZ68" s="15"/>
      <c r="JA68" s="15"/>
      <c r="JB68" s="15"/>
      <c r="JC68" s="15"/>
      <c r="JD68" s="15"/>
      <c r="JE68" s="15"/>
      <c r="JF68" s="15"/>
      <c r="JG68" s="15"/>
      <c r="JH68" s="15"/>
      <c r="JI68" s="15"/>
      <c r="JJ68" s="15"/>
      <c r="JK68" s="15"/>
      <c r="JL68" s="15"/>
      <c r="JM68" s="15"/>
      <c r="JN68" s="15"/>
      <c r="JO68" s="15"/>
      <c r="JP68" s="15"/>
      <c r="JQ68" s="15"/>
      <c r="JR68" s="15"/>
      <c r="JS68" s="15"/>
      <c r="JT68" s="15"/>
      <c r="JU68" s="15"/>
      <c r="JV68" s="15"/>
      <c r="JW68" s="15"/>
      <c r="JX68" s="15"/>
      <c r="JY68" s="15"/>
      <c r="JZ68" s="15"/>
      <c r="KA68" s="15"/>
      <c r="KB68" s="15"/>
      <c r="KC68" s="15"/>
      <c r="KD68" s="15"/>
      <c r="KE68" s="15"/>
      <c r="KF68" s="15"/>
      <c r="KG68" s="15"/>
      <c r="KH68" s="15"/>
      <c r="KI68" s="15"/>
      <c r="KJ68" s="15"/>
      <c r="KK68" s="15"/>
      <c r="KL68" s="15"/>
      <c r="KM68" s="15"/>
      <c r="KN68" s="15"/>
      <c r="KO68" s="15"/>
      <c r="KP68" s="15"/>
      <c r="KQ68" s="15"/>
      <c r="KR68" s="15"/>
      <c r="KS68" s="15"/>
      <c r="KT68" s="15"/>
      <c r="KU68" s="15"/>
      <c r="KV68" s="15"/>
      <c r="KW68" s="15"/>
      <c r="KX68" s="15"/>
      <c r="KY68" s="15"/>
      <c r="KZ68" s="15"/>
      <c r="LA68" s="15"/>
      <c r="LB68" s="15"/>
      <c r="LC68" s="15"/>
      <c r="LD68" s="15"/>
      <c r="LE68" s="15"/>
      <c r="LF68" s="15"/>
      <c r="LG68" s="15"/>
      <c r="LH68" s="15"/>
      <c r="LI68" s="15"/>
      <c r="LJ68" s="15"/>
      <c r="LK68" s="15"/>
      <c r="LL68" s="15"/>
      <c r="LM68" s="15"/>
      <c r="LN68" s="15"/>
      <c r="LO68" s="15"/>
      <c r="LP68" s="15"/>
      <c r="LQ68" s="15"/>
      <c r="LR68" s="15"/>
      <c r="LS68" s="15"/>
      <c r="LT68" s="15"/>
      <c r="LU68" s="15"/>
      <c r="LV68" s="15"/>
      <c r="LW68" s="15"/>
      <c r="LX68" s="15"/>
      <c r="LY68" s="15"/>
      <c r="LZ68" s="15"/>
      <c r="MA68" s="15"/>
      <c r="MB68" s="15"/>
      <c r="MC68" s="15"/>
      <c r="MD68" s="15"/>
      <c r="ME68" s="15"/>
      <c r="MF68" s="15"/>
      <c r="MG68" s="15"/>
      <c r="MH68" s="15"/>
      <c r="MI68" s="15"/>
      <c r="MJ68" s="15"/>
      <c r="MK68" s="15"/>
      <c r="ML68" s="15"/>
      <c r="MM68" s="15"/>
      <c r="MN68" s="15"/>
      <c r="MO68" s="15"/>
      <c r="MP68" s="15"/>
      <c r="MQ68" s="15"/>
      <c r="MR68" s="15"/>
      <c r="MS68" s="15"/>
      <c r="MT68" s="15"/>
      <c r="MU68" s="15"/>
      <c r="MV68" s="15"/>
      <c r="MW68" s="15"/>
      <c r="MX68" s="15"/>
      <c r="MY68" s="15"/>
      <c r="MZ68" s="15"/>
      <c r="NA68" s="15"/>
      <c r="NB68" s="15"/>
      <c r="NC68" s="15"/>
      <c r="ND68" s="15"/>
      <c r="NE68" s="15"/>
      <c r="NF68" s="15"/>
      <c r="NG68" s="15"/>
    </row>
    <row r="69" spans="1:371" ht="14.4">
      <c r="A69" s="15"/>
      <c r="B69" s="15"/>
      <c r="C69" s="111"/>
      <c r="D69" s="111"/>
      <c r="E69" s="15"/>
      <c r="F69" s="113"/>
      <c r="G69" s="15"/>
      <c r="H69" s="15"/>
      <c r="I69" s="113"/>
      <c r="J69" s="113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  <c r="IX69" s="15"/>
      <c r="IY69" s="15"/>
      <c r="IZ69" s="15"/>
      <c r="JA69" s="15"/>
      <c r="JB69" s="15"/>
      <c r="JC69" s="15"/>
      <c r="JD69" s="15"/>
      <c r="JE69" s="15"/>
      <c r="JF69" s="15"/>
      <c r="JG69" s="15"/>
      <c r="JH69" s="15"/>
      <c r="JI69" s="15"/>
      <c r="JJ69" s="15"/>
      <c r="JK69" s="15"/>
      <c r="JL69" s="15"/>
      <c r="JM69" s="15"/>
      <c r="JN69" s="15"/>
      <c r="JO69" s="15"/>
      <c r="JP69" s="15"/>
      <c r="JQ69" s="15"/>
      <c r="JR69" s="15"/>
      <c r="JS69" s="15"/>
      <c r="JT69" s="15"/>
      <c r="JU69" s="15"/>
      <c r="JV69" s="15"/>
      <c r="JW69" s="15"/>
      <c r="JX69" s="15"/>
      <c r="JY69" s="15"/>
      <c r="JZ69" s="15"/>
      <c r="KA69" s="15"/>
      <c r="KB69" s="15"/>
      <c r="KC69" s="15"/>
      <c r="KD69" s="15"/>
      <c r="KE69" s="15"/>
      <c r="KF69" s="15"/>
      <c r="KG69" s="15"/>
      <c r="KH69" s="15"/>
      <c r="KI69" s="15"/>
      <c r="KJ69" s="15"/>
      <c r="KK69" s="15"/>
      <c r="KL69" s="15"/>
      <c r="KM69" s="15"/>
      <c r="KN69" s="15"/>
      <c r="KO69" s="15"/>
      <c r="KP69" s="15"/>
      <c r="KQ69" s="15"/>
      <c r="KR69" s="15"/>
      <c r="KS69" s="15"/>
      <c r="KT69" s="15"/>
      <c r="KU69" s="15"/>
      <c r="KV69" s="15"/>
      <c r="KW69" s="15"/>
      <c r="KX69" s="15"/>
      <c r="KY69" s="15"/>
      <c r="KZ69" s="15"/>
      <c r="LA69" s="15"/>
      <c r="LB69" s="15"/>
      <c r="LC69" s="15"/>
      <c r="LD69" s="15"/>
      <c r="LE69" s="15"/>
      <c r="LF69" s="15"/>
      <c r="LG69" s="15"/>
      <c r="LH69" s="15"/>
      <c r="LI69" s="15"/>
      <c r="LJ69" s="15"/>
      <c r="LK69" s="15"/>
      <c r="LL69" s="15"/>
      <c r="LM69" s="15"/>
      <c r="LN69" s="15"/>
      <c r="LO69" s="15"/>
      <c r="LP69" s="15"/>
      <c r="LQ69" s="15"/>
      <c r="LR69" s="15"/>
      <c r="LS69" s="15"/>
      <c r="LT69" s="15"/>
      <c r="LU69" s="15"/>
      <c r="LV69" s="15"/>
      <c r="LW69" s="15"/>
      <c r="LX69" s="15"/>
      <c r="LY69" s="15"/>
      <c r="LZ69" s="15"/>
      <c r="MA69" s="15"/>
      <c r="MB69" s="15"/>
      <c r="MC69" s="15"/>
      <c r="MD69" s="15"/>
      <c r="ME69" s="15"/>
      <c r="MF69" s="15"/>
      <c r="MG69" s="15"/>
      <c r="MH69" s="15"/>
      <c r="MI69" s="15"/>
      <c r="MJ69" s="15"/>
      <c r="MK69" s="15"/>
      <c r="ML69" s="15"/>
      <c r="MM69" s="15"/>
      <c r="MN69" s="15"/>
      <c r="MO69" s="15"/>
      <c r="MP69" s="15"/>
      <c r="MQ69" s="15"/>
      <c r="MR69" s="15"/>
      <c r="MS69" s="15"/>
      <c r="MT69" s="15"/>
      <c r="MU69" s="15"/>
      <c r="MV69" s="15"/>
      <c r="MW69" s="15"/>
      <c r="MX69" s="15"/>
      <c r="MY69" s="15"/>
      <c r="MZ69" s="15"/>
      <c r="NA69" s="15"/>
      <c r="NB69" s="15"/>
      <c r="NC69" s="15"/>
      <c r="ND69" s="15"/>
      <c r="NE69" s="15"/>
      <c r="NF69" s="15"/>
      <c r="NG69" s="15"/>
    </row>
    <row r="70" spans="1:371" ht="14.4">
      <c r="A70" s="15"/>
      <c r="B70" s="15"/>
      <c r="C70" s="290">
        <v>13</v>
      </c>
      <c r="D70" s="290" t="s">
        <v>112</v>
      </c>
      <c r="E70" s="108"/>
      <c r="F70" s="109" t="s">
        <v>869</v>
      </c>
      <c r="G70" s="108"/>
      <c r="H70" s="108"/>
      <c r="I70" s="109" t="s">
        <v>870</v>
      </c>
      <c r="J70" s="109" t="str">
        <f>REPLACE(F70,6,6,":white")</f>
        <v>Black:white</v>
      </c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  <c r="IV70" s="15"/>
      <c r="IW70" s="15"/>
      <c r="IX70" s="15"/>
      <c r="IY70" s="15"/>
      <c r="IZ70" s="15"/>
      <c r="JA70" s="15"/>
      <c r="JB70" s="15"/>
      <c r="JC70" s="15"/>
      <c r="JD70" s="15"/>
      <c r="JE70" s="15"/>
      <c r="JF70" s="15"/>
      <c r="JG70" s="15"/>
      <c r="JH70" s="15"/>
      <c r="JI70" s="15"/>
      <c r="JJ70" s="15"/>
      <c r="JK70" s="15"/>
      <c r="JL70" s="15"/>
      <c r="JM70" s="15"/>
      <c r="JN70" s="15"/>
      <c r="JO70" s="15"/>
      <c r="JP70" s="15"/>
      <c r="JQ70" s="15"/>
      <c r="JR70" s="15"/>
      <c r="JS70" s="15"/>
      <c r="JT70" s="15"/>
      <c r="JU70" s="15"/>
      <c r="JV70" s="15"/>
      <c r="JW70" s="15"/>
      <c r="JX70" s="15"/>
      <c r="JY70" s="15"/>
      <c r="JZ70" s="15"/>
      <c r="KA70" s="15"/>
      <c r="KB70" s="15"/>
      <c r="KC70" s="15"/>
      <c r="KD70" s="15"/>
      <c r="KE70" s="15"/>
      <c r="KF70" s="15"/>
      <c r="KG70" s="15"/>
      <c r="KH70" s="15"/>
      <c r="KI70" s="15"/>
      <c r="KJ70" s="15"/>
      <c r="KK70" s="15"/>
      <c r="KL70" s="15"/>
      <c r="KM70" s="15"/>
      <c r="KN70" s="15"/>
      <c r="KO70" s="15"/>
      <c r="KP70" s="15"/>
      <c r="KQ70" s="15"/>
      <c r="KR70" s="15"/>
      <c r="KS70" s="15"/>
      <c r="KT70" s="15"/>
      <c r="KU70" s="15"/>
      <c r="KV70" s="15"/>
      <c r="KW70" s="15"/>
      <c r="KX70" s="15"/>
      <c r="KY70" s="15"/>
      <c r="KZ70" s="15"/>
      <c r="LA70" s="15"/>
      <c r="LB70" s="15"/>
      <c r="LC70" s="15"/>
      <c r="LD70" s="15"/>
      <c r="LE70" s="15"/>
      <c r="LF70" s="15"/>
      <c r="LG70" s="15"/>
      <c r="LH70" s="15"/>
      <c r="LI70" s="15"/>
      <c r="LJ70" s="15"/>
      <c r="LK70" s="15"/>
      <c r="LL70" s="15"/>
      <c r="LM70" s="15"/>
      <c r="LN70" s="15"/>
      <c r="LO70" s="15"/>
      <c r="LP70" s="15"/>
      <c r="LQ70" s="15"/>
      <c r="LR70" s="15"/>
      <c r="LS70" s="15"/>
      <c r="LT70" s="15"/>
      <c r="LU70" s="15"/>
      <c r="LV70" s="15"/>
      <c r="LW70" s="15"/>
      <c r="LX70" s="15"/>
      <c r="LY70" s="15"/>
      <c r="LZ70" s="15"/>
      <c r="MA70" s="15"/>
      <c r="MB70" s="15"/>
      <c r="MC70" s="15"/>
      <c r="MD70" s="15"/>
      <c r="ME70" s="15"/>
      <c r="MF70" s="15"/>
      <c r="MG70" s="15"/>
      <c r="MH70" s="15"/>
      <c r="MI70" s="15"/>
      <c r="MJ70" s="15"/>
      <c r="MK70" s="15"/>
      <c r="ML70" s="15"/>
      <c r="MM70" s="15"/>
      <c r="MN70" s="15"/>
      <c r="MO70" s="15"/>
      <c r="MP70" s="15"/>
      <c r="MQ70" s="15"/>
      <c r="MR70" s="15"/>
      <c r="MS70" s="15"/>
      <c r="MT70" s="15"/>
      <c r="MU70" s="15"/>
      <c r="MV70" s="15"/>
      <c r="MW70" s="15"/>
      <c r="MX70" s="15"/>
      <c r="MY70" s="15"/>
      <c r="MZ70" s="15"/>
      <c r="NA70" s="15"/>
      <c r="NB70" s="15"/>
      <c r="NC70" s="15"/>
      <c r="ND70" s="15"/>
      <c r="NE70" s="15"/>
      <c r="NF70" s="15"/>
      <c r="NG70" s="15"/>
    </row>
    <row r="71" spans="1:371" ht="14.4">
      <c r="A71" s="15"/>
      <c r="B71" s="15"/>
      <c r="C71" s="291"/>
      <c r="D71" s="291"/>
      <c r="E71" s="108"/>
      <c r="F71" s="109" t="s">
        <v>871</v>
      </c>
      <c r="G71" s="108"/>
      <c r="H71" s="108"/>
      <c r="I71" s="109" t="s">
        <v>872</v>
      </c>
      <c r="J71" s="109" t="str">
        <f>REPLACE(F71,6,6,"1")</f>
        <v>Court1</v>
      </c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  <c r="IV71" s="15"/>
      <c r="IW71" s="15"/>
      <c r="IX71" s="15"/>
      <c r="IY71" s="15"/>
      <c r="IZ71" s="15"/>
      <c r="JA71" s="15"/>
      <c r="JB71" s="15"/>
      <c r="JC71" s="15"/>
      <c r="JD71" s="15"/>
      <c r="JE71" s="15"/>
      <c r="JF71" s="15"/>
      <c r="JG71" s="15"/>
      <c r="JH71" s="15"/>
      <c r="JI71" s="15"/>
      <c r="JJ71" s="15"/>
      <c r="JK71" s="15"/>
      <c r="JL71" s="15"/>
      <c r="JM71" s="15"/>
      <c r="JN71" s="15"/>
      <c r="JO71" s="15"/>
      <c r="JP71" s="15"/>
      <c r="JQ71" s="15"/>
      <c r="JR71" s="15"/>
      <c r="JS71" s="15"/>
      <c r="JT71" s="15"/>
      <c r="JU71" s="15"/>
      <c r="JV71" s="15"/>
      <c r="JW71" s="15"/>
      <c r="JX71" s="15"/>
      <c r="JY71" s="15"/>
      <c r="JZ71" s="15"/>
      <c r="KA71" s="15"/>
      <c r="KB71" s="15"/>
      <c r="KC71" s="15"/>
      <c r="KD71" s="15"/>
      <c r="KE71" s="15"/>
      <c r="KF71" s="15"/>
      <c r="KG71" s="15"/>
      <c r="KH71" s="15"/>
      <c r="KI71" s="15"/>
      <c r="KJ71" s="15"/>
      <c r="KK71" s="15"/>
      <c r="KL71" s="15"/>
      <c r="KM71" s="15"/>
      <c r="KN71" s="15"/>
      <c r="KO71" s="15"/>
      <c r="KP71" s="15"/>
      <c r="KQ71" s="15"/>
      <c r="KR71" s="15"/>
      <c r="KS71" s="15"/>
      <c r="KT71" s="15"/>
      <c r="KU71" s="15"/>
      <c r="KV71" s="15"/>
      <c r="KW71" s="15"/>
      <c r="KX71" s="15"/>
      <c r="KY71" s="15"/>
      <c r="KZ71" s="15"/>
      <c r="LA71" s="15"/>
      <c r="LB71" s="15"/>
      <c r="LC71" s="15"/>
      <c r="LD71" s="15"/>
      <c r="LE71" s="15"/>
      <c r="LF71" s="15"/>
      <c r="LG71" s="15"/>
      <c r="LH71" s="15"/>
      <c r="LI71" s="15"/>
      <c r="LJ71" s="15"/>
      <c r="LK71" s="15"/>
      <c r="LL71" s="15"/>
      <c r="LM71" s="15"/>
      <c r="LN71" s="15"/>
      <c r="LO71" s="15"/>
      <c r="LP71" s="15"/>
      <c r="LQ71" s="15"/>
      <c r="LR71" s="15"/>
      <c r="LS71" s="15"/>
      <c r="LT71" s="15"/>
      <c r="LU71" s="15"/>
      <c r="LV71" s="15"/>
      <c r="LW71" s="15"/>
      <c r="LX71" s="15"/>
      <c r="LY71" s="15"/>
      <c r="LZ71" s="15"/>
      <c r="MA71" s="15"/>
      <c r="MB71" s="15"/>
      <c r="MC71" s="15"/>
      <c r="MD71" s="15"/>
      <c r="ME71" s="15"/>
      <c r="MF71" s="15"/>
      <c r="MG71" s="15"/>
      <c r="MH71" s="15"/>
      <c r="MI71" s="15"/>
      <c r="MJ71" s="15"/>
      <c r="MK71" s="15"/>
      <c r="ML71" s="15"/>
      <c r="MM71" s="15"/>
      <c r="MN71" s="15"/>
      <c r="MO71" s="15"/>
      <c r="MP71" s="15"/>
      <c r="MQ71" s="15"/>
      <c r="MR71" s="15"/>
      <c r="MS71" s="15"/>
      <c r="MT71" s="15"/>
      <c r="MU71" s="15"/>
      <c r="MV71" s="15"/>
      <c r="MW71" s="15"/>
      <c r="MX71" s="15"/>
      <c r="MY71" s="15"/>
      <c r="MZ71" s="15"/>
      <c r="NA71" s="15"/>
      <c r="NB71" s="15"/>
      <c r="NC71" s="15"/>
      <c r="ND71" s="15"/>
      <c r="NE71" s="15"/>
      <c r="NF71" s="15"/>
      <c r="NG71" s="15"/>
    </row>
    <row r="72" spans="1:371" ht="14.4">
      <c r="A72" s="15"/>
      <c r="B72" s="15"/>
      <c r="C72" s="291"/>
      <c r="D72" s="291"/>
      <c r="E72" s="108"/>
      <c r="F72" s="109" t="s">
        <v>873</v>
      </c>
      <c r="G72" s="108"/>
      <c r="H72" s="108"/>
      <c r="I72" s="109" t="s">
        <v>874</v>
      </c>
      <c r="J72" s="109" t="str">
        <f>REPLACE(F72,6,6,"Bee")</f>
        <v>HoneyBee</v>
      </c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  <c r="IT72" s="15"/>
      <c r="IU72" s="15"/>
      <c r="IV72" s="15"/>
      <c r="IW72" s="15"/>
      <c r="IX72" s="15"/>
      <c r="IY72" s="15"/>
      <c r="IZ72" s="15"/>
      <c r="JA72" s="15"/>
      <c r="JB72" s="15"/>
      <c r="JC72" s="15"/>
      <c r="JD72" s="15"/>
      <c r="JE72" s="15"/>
      <c r="JF72" s="15"/>
      <c r="JG72" s="15"/>
      <c r="JH72" s="15"/>
      <c r="JI72" s="15"/>
      <c r="JJ72" s="15"/>
      <c r="JK72" s="15"/>
      <c r="JL72" s="15"/>
      <c r="JM72" s="15"/>
      <c r="JN72" s="15"/>
      <c r="JO72" s="15"/>
      <c r="JP72" s="15"/>
      <c r="JQ72" s="15"/>
      <c r="JR72" s="15"/>
      <c r="JS72" s="15"/>
      <c r="JT72" s="15"/>
      <c r="JU72" s="15"/>
      <c r="JV72" s="15"/>
      <c r="JW72" s="15"/>
      <c r="JX72" s="15"/>
      <c r="JY72" s="15"/>
      <c r="JZ72" s="15"/>
      <c r="KA72" s="15"/>
      <c r="KB72" s="15"/>
      <c r="KC72" s="15"/>
      <c r="KD72" s="15"/>
      <c r="KE72" s="15"/>
      <c r="KF72" s="15"/>
      <c r="KG72" s="15"/>
      <c r="KH72" s="15"/>
      <c r="KI72" s="15"/>
      <c r="KJ72" s="15"/>
      <c r="KK72" s="15"/>
      <c r="KL72" s="15"/>
      <c r="KM72" s="15"/>
      <c r="KN72" s="15"/>
      <c r="KO72" s="15"/>
      <c r="KP72" s="15"/>
      <c r="KQ72" s="15"/>
      <c r="KR72" s="15"/>
      <c r="KS72" s="15"/>
      <c r="KT72" s="15"/>
      <c r="KU72" s="15"/>
      <c r="KV72" s="15"/>
      <c r="KW72" s="15"/>
      <c r="KX72" s="15"/>
      <c r="KY72" s="15"/>
      <c r="KZ72" s="15"/>
      <c r="LA72" s="15"/>
      <c r="LB72" s="15"/>
      <c r="LC72" s="15"/>
      <c r="LD72" s="15"/>
      <c r="LE72" s="15"/>
      <c r="LF72" s="15"/>
      <c r="LG72" s="15"/>
      <c r="LH72" s="15"/>
      <c r="LI72" s="15"/>
      <c r="LJ72" s="15"/>
      <c r="LK72" s="15"/>
      <c r="LL72" s="15"/>
      <c r="LM72" s="15"/>
      <c r="LN72" s="15"/>
      <c r="LO72" s="15"/>
      <c r="LP72" s="15"/>
      <c r="LQ72" s="15"/>
      <c r="LR72" s="15"/>
      <c r="LS72" s="15"/>
      <c r="LT72" s="15"/>
      <c r="LU72" s="15"/>
      <c r="LV72" s="15"/>
      <c r="LW72" s="15"/>
      <c r="LX72" s="15"/>
      <c r="LY72" s="15"/>
      <c r="LZ72" s="15"/>
      <c r="MA72" s="15"/>
      <c r="MB72" s="15"/>
      <c r="MC72" s="15"/>
      <c r="MD72" s="15"/>
      <c r="ME72" s="15"/>
      <c r="MF72" s="15"/>
      <c r="MG72" s="15"/>
      <c r="MH72" s="15"/>
      <c r="MI72" s="15"/>
      <c r="MJ72" s="15"/>
      <c r="MK72" s="15"/>
      <c r="ML72" s="15"/>
      <c r="MM72" s="15"/>
      <c r="MN72" s="15"/>
      <c r="MO72" s="15"/>
      <c r="MP72" s="15"/>
      <c r="MQ72" s="15"/>
      <c r="MR72" s="15"/>
      <c r="MS72" s="15"/>
      <c r="MT72" s="15"/>
      <c r="MU72" s="15"/>
      <c r="MV72" s="15"/>
      <c r="MW72" s="15"/>
      <c r="MX72" s="15"/>
      <c r="MY72" s="15"/>
      <c r="MZ72" s="15"/>
      <c r="NA72" s="15"/>
      <c r="NB72" s="15"/>
      <c r="NC72" s="15"/>
      <c r="ND72" s="15"/>
      <c r="NE72" s="15"/>
      <c r="NF72" s="15"/>
      <c r="NG72" s="15"/>
    </row>
    <row r="73" spans="1:371" ht="14.4">
      <c r="A73" s="15"/>
      <c r="B73" s="15"/>
      <c r="C73" s="291"/>
      <c r="D73" s="291"/>
      <c r="E73" s="108"/>
      <c r="F73" s="109" t="s">
        <v>875</v>
      </c>
      <c r="G73" s="108"/>
      <c r="H73" s="108"/>
      <c r="I73" s="109" t="s">
        <v>876</v>
      </c>
      <c r="J73" s="109" t="str">
        <f>REPLACE(F73,3,5,"25")</f>
        <v>co25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  <c r="IX73" s="15"/>
      <c r="IY73" s="15"/>
      <c r="IZ73" s="15"/>
      <c r="JA73" s="15"/>
      <c r="JB73" s="15"/>
      <c r="JC73" s="15"/>
      <c r="JD73" s="15"/>
      <c r="JE73" s="15"/>
      <c r="JF73" s="15"/>
      <c r="JG73" s="15"/>
      <c r="JH73" s="15"/>
      <c r="JI73" s="15"/>
      <c r="JJ73" s="15"/>
      <c r="JK73" s="15"/>
      <c r="JL73" s="15"/>
      <c r="JM73" s="15"/>
      <c r="JN73" s="15"/>
      <c r="JO73" s="15"/>
      <c r="JP73" s="15"/>
      <c r="JQ73" s="15"/>
      <c r="JR73" s="15"/>
      <c r="JS73" s="15"/>
      <c r="JT73" s="15"/>
      <c r="JU73" s="15"/>
      <c r="JV73" s="15"/>
      <c r="JW73" s="15"/>
      <c r="JX73" s="15"/>
      <c r="JY73" s="15"/>
      <c r="JZ73" s="15"/>
      <c r="KA73" s="15"/>
      <c r="KB73" s="15"/>
      <c r="KC73" s="15"/>
      <c r="KD73" s="15"/>
      <c r="KE73" s="15"/>
      <c r="KF73" s="15"/>
      <c r="KG73" s="15"/>
      <c r="KH73" s="15"/>
      <c r="KI73" s="15"/>
      <c r="KJ73" s="15"/>
      <c r="KK73" s="15"/>
      <c r="KL73" s="15"/>
      <c r="KM73" s="15"/>
      <c r="KN73" s="15"/>
      <c r="KO73" s="15"/>
      <c r="KP73" s="15"/>
      <c r="KQ73" s="15"/>
      <c r="KR73" s="15"/>
      <c r="KS73" s="15"/>
      <c r="KT73" s="15"/>
      <c r="KU73" s="15"/>
      <c r="KV73" s="15"/>
      <c r="KW73" s="15"/>
      <c r="KX73" s="15"/>
      <c r="KY73" s="15"/>
      <c r="KZ73" s="15"/>
      <c r="LA73" s="15"/>
      <c r="LB73" s="15"/>
      <c r="LC73" s="15"/>
      <c r="LD73" s="15"/>
      <c r="LE73" s="15"/>
      <c r="LF73" s="15"/>
      <c r="LG73" s="15"/>
      <c r="LH73" s="15"/>
      <c r="LI73" s="15"/>
      <c r="LJ73" s="15"/>
      <c r="LK73" s="15"/>
      <c r="LL73" s="15"/>
      <c r="LM73" s="15"/>
      <c r="LN73" s="15"/>
      <c r="LO73" s="15"/>
      <c r="LP73" s="15"/>
      <c r="LQ73" s="15"/>
      <c r="LR73" s="15"/>
      <c r="LS73" s="15"/>
      <c r="LT73" s="15"/>
      <c r="LU73" s="15"/>
      <c r="LV73" s="15"/>
      <c r="LW73" s="15"/>
      <c r="LX73" s="15"/>
      <c r="LY73" s="15"/>
      <c r="LZ73" s="15"/>
      <c r="MA73" s="15"/>
      <c r="MB73" s="15"/>
      <c r="MC73" s="15"/>
      <c r="MD73" s="15"/>
      <c r="ME73" s="15"/>
      <c r="MF73" s="15"/>
      <c r="MG73" s="15"/>
      <c r="MH73" s="15"/>
      <c r="MI73" s="15"/>
      <c r="MJ73" s="15"/>
      <c r="MK73" s="15"/>
      <c r="ML73" s="15"/>
      <c r="MM73" s="15"/>
      <c r="MN73" s="15"/>
      <c r="MO73" s="15"/>
      <c r="MP73" s="15"/>
      <c r="MQ73" s="15"/>
      <c r="MR73" s="15"/>
      <c r="MS73" s="15"/>
      <c r="MT73" s="15"/>
      <c r="MU73" s="15"/>
      <c r="MV73" s="15"/>
      <c r="MW73" s="15"/>
      <c r="MX73" s="15"/>
      <c r="MY73" s="15"/>
      <c r="MZ73" s="15"/>
      <c r="NA73" s="15"/>
      <c r="NB73" s="15"/>
      <c r="NC73" s="15"/>
      <c r="ND73" s="15"/>
      <c r="NE73" s="15"/>
      <c r="NF73" s="15"/>
      <c r="NG73" s="15"/>
    </row>
    <row r="74" spans="1:371" ht="14.4">
      <c r="A74" s="15"/>
      <c r="B74" s="15"/>
      <c r="C74" s="283"/>
      <c r="D74" s="283"/>
      <c r="E74" s="108"/>
      <c r="F74" s="109" t="s">
        <v>877</v>
      </c>
      <c r="G74" s="108"/>
      <c r="H74" s="108"/>
      <c r="I74" s="109" t="s">
        <v>878</v>
      </c>
      <c r="J74" s="109" t="str">
        <f>REPLACE(F74,6,6,"1")</f>
        <v>Numbe1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  <c r="IV74" s="15"/>
      <c r="IW74" s="15"/>
      <c r="IX74" s="15"/>
      <c r="IY74" s="15"/>
      <c r="IZ74" s="15"/>
      <c r="JA74" s="15"/>
      <c r="JB74" s="15"/>
      <c r="JC74" s="15"/>
      <c r="JD74" s="15"/>
      <c r="JE74" s="15"/>
      <c r="JF74" s="15"/>
      <c r="JG74" s="15"/>
      <c r="JH74" s="15"/>
      <c r="JI74" s="15"/>
      <c r="JJ74" s="15"/>
      <c r="JK74" s="15"/>
      <c r="JL74" s="15"/>
      <c r="JM74" s="15"/>
      <c r="JN74" s="15"/>
      <c r="JO74" s="15"/>
      <c r="JP74" s="15"/>
      <c r="JQ74" s="15"/>
      <c r="JR74" s="15"/>
      <c r="JS74" s="15"/>
      <c r="JT74" s="15"/>
      <c r="JU74" s="15"/>
      <c r="JV74" s="15"/>
      <c r="JW74" s="15"/>
      <c r="JX74" s="15"/>
      <c r="JY74" s="15"/>
      <c r="JZ74" s="15"/>
      <c r="KA74" s="15"/>
      <c r="KB74" s="15"/>
      <c r="KC74" s="15"/>
      <c r="KD74" s="15"/>
      <c r="KE74" s="15"/>
      <c r="KF74" s="15"/>
      <c r="KG74" s="15"/>
      <c r="KH74" s="15"/>
      <c r="KI74" s="15"/>
      <c r="KJ74" s="15"/>
      <c r="KK74" s="15"/>
      <c r="KL74" s="15"/>
      <c r="KM74" s="15"/>
      <c r="KN74" s="15"/>
      <c r="KO74" s="15"/>
      <c r="KP74" s="15"/>
      <c r="KQ74" s="15"/>
      <c r="KR74" s="15"/>
      <c r="KS74" s="15"/>
      <c r="KT74" s="15"/>
      <c r="KU74" s="15"/>
      <c r="KV74" s="15"/>
      <c r="KW74" s="15"/>
      <c r="KX74" s="15"/>
      <c r="KY74" s="15"/>
      <c r="KZ74" s="15"/>
      <c r="LA74" s="15"/>
      <c r="LB74" s="15"/>
      <c r="LC74" s="15"/>
      <c r="LD74" s="15"/>
      <c r="LE74" s="15"/>
      <c r="LF74" s="15"/>
      <c r="LG74" s="15"/>
      <c r="LH74" s="15"/>
      <c r="LI74" s="15"/>
      <c r="LJ74" s="15"/>
      <c r="LK74" s="15"/>
      <c r="LL74" s="15"/>
      <c r="LM74" s="15"/>
      <c r="LN74" s="15"/>
      <c r="LO74" s="15"/>
      <c r="LP74" s="15"/>
      <c r="LQ74" s="15"/>
      <c r="LR74" s="15"/>
      <c r="LS74" s="15"/>
      <c r="LT74" s="15"/>
      <c r="LU74" s="15"/>
      <c r="LV74" s="15"/>
      <c r="LW74" s="15"/>
      <c r="LX74" s="15"/>
      <c r="LY74" s="15"/>
      <c r="LZ74" s="15"/>
      <c r="MA74" s="15"/>
      <c r="MB74" s="15"/>
      <c r="MC74" s="15"/>
      <c r="MD74" s="15"/>
      <c r="ME74" s="15"/>
      <c r="MF74" s="15"/>
      <c r="MG74" s="15"/>
      <c r="MH74" s="15"/>
      <c r="MI74" s="15"/>
      <c r="MJ74" s="15"/>
      <c r="MK74" s="15"/>
      <c r="ML74" s="15"/>
      <c r="MM74" s="15"/>
      <c r="MN74" s="15"/>
      <c r="MO74" s="15"/>
      <c r="MP74" s="15"/>
      <c r="MQ74" s="15"/>
      <c r="MR74" s="15"/>
      <c r="MS74" s="15"/>
      <c r="MT74" s="15"/>
      <c r="MU74" s="15"/>
      <c r="MV74" s="15"/>
      <c r="MW74" s="15"/>
      <c r="MX74" s="15"/>
      <c r="MY74" s="15"/>
      <c r="MZ74" s="15"/>
      <c r="NA74" s="15"/>
      <c r="NB74" s="15"/>
      <c r="NC74" s="15"/>
      <c r="ND74" s="15"/>
      <c r="NE74" s="15"/>
      <c r="NF74" s="15"/>
      <c r="NG74" s="15"/>
    </row>
    <row r="75" spans="1:371" ht="14.4">
      <c r="A75" s="15"/>
      <c r="B75" s="15"/>
      <c r="C75" s="111"/>
      <c r="D75" s="111"/>
      <c r="E75" s="15"/>
      <c r="F75" s="113"/>
      <c r="G75" s="15"/>
      <c r="H75" s="15"/>
      <c r="I75" s="113"/>
      <c r="J75" s="113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  <c r="IX75" s="15"/>
      <c r="IY75" s="15"/>
      <c r="IZ75" s="15"/>
      <c r="JA75" s="15"/>
      <c r="JB75" s="15"/>
      <c r="JC75" s="15"/>
      <c r="JD75" s="15"/>
      <c r="JE75" s="15"/>
      <c r="JF75" s="15"/>
      <c r="JG75" s="15"/>
      <c r="JH75" s="15"/>
      <c r="JI75" s="15"/>
      <c r="JJ75" s="15"/>
      <c r="JK75" s="15"/>
      <c r="JL75" s="15"/>
      <c r="JM75" s="15"/>
      <c r="JN75" s="15"/>
      <c r="JO75" s="15"/>
      <c r="JP75" s="15"/>
      <c r="JQ75" s="15"/>
      <c r="JR75" s="15"/>
      <c r="JS75" s="15"/>
      <c r="JT75" s="15"/>
      <c r="JU75" s="15"/>
      <c r="JV75" s="15"/>
      <c r="JW75" s="15"/>
      <c r="JX75" s="15"/>
      <c r="JY75" s="15"/>
      <c r="JZ75" s="15"/>
      <c r="KA75" s="15"/>
      <c r="KB75" s="15"/>
      <c r="KC75" s="15"/>
      <c r="KD75" s="15"/>
      <c r="KE75" s="15"/>
      <c r="KF75" s="15"/>
      <c r="KG75" s="15"/>
      <c r="KH75" s="15"/>
      <c r="KI75" s="15"/>
      <c r="KJ75" s="15"/>
      <c r="KK75" s="15"/>
      <c r="KL75" s="15"/>
      <c r="KM75" s="15"/>
      <c r="KN75" s="15"/>
      <c r="KO75" s="15"/>
      <c r="KP75" s="15"/>
      <c r="KQ75" s="15"/>
      <c r="KR75" s="15"/>
      <c r="KS75" s="15"/>
      <c r="KT75" s="15"/>
      <c r="KU75" s="15"/>
      <c r="KV75" s="15"/>
      <c r="KW75" s="15"/>
      <c r="KX75" s="15"/>
      <c r="KY75" s="15"/>
      <c r="KZ75" s="15"/>
      <c r="LA75" s="15"/>
      <c r="LB75" s="15"/>
      <c r="LC75" s="15"/>
      <c r="LD75" s="15"/>
      <c r="LE75" s="15"/>
      <c r="LF75" s="15"/>
      <c r="LG75" s="15"/>
      <c r="LH75" s="15"/>
      <c r="LI75" s="15"/>
      <c r="LJ75" s="15"/>
      <c r="LK75" s="15"/>
      <c r="LL75" s="15"/>
      <c r="LM75" s="15"/>
      <c r="LN75" s="15"/>
      <c r="LO75" s="15"/>
      <c r="LP75" s="15"/>
      <c r="LQ75" s="15"/>
      <c r="LR75" s="15"/>
      <c r="LS75" s="15"/>
      <c r="LT75" s="15"/>
      <c r="LU75" s="15"/>
      <c r="LV75" s="15"/>
      <c r="LW75" s="15"/>
      <c r="LX75" s="15"/>
      <c r="LY75" s="15"/>
      <c r="LZ75" s="15"/>
      <c r="MA75" s="15"/>
      <c r="MB75" s="15"/>
      <c r="MC75" s="15"/>
      <c r="MD75" s="15"/>
      <c r="ME75" s="15"/>
      <c r="MF75" s="15"/>
      <c r="MG75" s="15"/>
      <c r="MH75" s="15"/>
      <c r="MI75" s="15"/>
      <c r="MJ75" s="15"/>
      <c r="MK75" s="15"/>
      <c r="ML75" s="15"/>
      <c r="MM75" s="15"/>
      <c r="MN75" s="15"/>
      <c r="MO75" s="15"/>
      <c r="MP75" s="15"/>
      <c r="MQ75" s="15"/>
      <c r="MR75" s="15"/>
      <c r="MS75" s="15"/>
      <c r="MT75" s="15"/>
      <c r="MU75" s="15"/>
      <c r="MV75" s="15"/>
      <c r="MW75" s="15"/>
      <c r="MX75" s="15"/>
      <c r="MY75" s="15"/>
      <c r="MZ75" s="15"/>
      <c r="NA75" s="15"/>
      <c r="NB75" s="15"/>
      <c r="NC75" s="15"/>
      <c r="ND75" s="15"/>
      <c r="NE75" s="15"/>
      <c r="NF75" s="15"/>
      <c r="NG75" s="15"/>
    </row>
    <row r="76" spans="1:371" ht="14.4">
      <c r="A76" s="15"/>
      <c r="B76" s="15"/>
      <c r="C76" s="290">
        <v>14</v>
      </c>
      <c r="D76" s="290" t="s">
        <v>101</v>
      </c>
      <c r="E76" s="108"/>
      <c r="F76" s="109" t="s">
        <v>879</v>
      </c>
      <c r="G76" s="108"/>
      <c r="H76" s="108"/>
      <c r="I76" s="109" t="s">
        <v>880</v>
      </c>
      <c r="J76" s="109" t="str">
        <f t="shared" ref="J76:J80" si="7">PROPER(F76)</f>
        <v>Beauty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  <c r="IX76" s="15"/>
      <c r="IY76" s="15"/>
      <c r="IZ76" s="15"/>
      <c r="JA76" s="15"/>
      <c r="JB76" s="15"/>
      <c r="JC76" s="15"/>
      <c r="JD76" s="15"/>
      <c r="JE76" s="15"/>
      <c r="JF76" s="15"/>
      <c r="JG76" s="15"/>
      <c r="JH76" s="15"/>
      <c r="JI76" s="15"/>
      <c r="JJ76" s="15"/>
      <c r="JK76" s="15"/>
      <c r="JL76" s="15"/>
      <c r="JM76" s="15"/>
      <c r="JN76" s="15"/>
      <c r="JO76" s="15"/>
      <c r="JP76" s="15"/>
      <c r="JQ76" s="15"/>
      <c r="JR76" s="15"/>
      <c r="JS76" s="15"/>
      <c r="JT76" s="15"/>
      <c r="JU76" s="15"/>
      <c r="JV76" s="15"/>
      <c r="JW76" s="15"/>
      <c r="JX76" s="15"/>
      <c r="JY76" s="15"/>
      <c r="JZ76" s="15"/>
      <c r="KA76" s="15"/>
      <c r="KB76" s="15"/>
      <c r="KC76" s="15"/>
      <c r="KD76" s="15"/>
      <c r="KE76" s="15"/>
      <c r="KF76" s="15"/>
      <c r="KG76" s="15"/>
      <c r="KH76" s="15"/>
      <c r="KI76" s="15"/>
      <c r="KJ76" s="15"/>
      <c r="KK76" s="15"/>
      <c r="KL76" s="15"/>
      <c r="KM76" s="15"/>
      <c r="KN76" s="15"/>
      <c r="KO76" s="15"/>
      <c r="KP76" s="15"/>
      <c r="KQ76" s="15"/>
      <c r="KR76" s="15"/>
      <c r="KS76" s="15"/>
      <c r="KT76" s="15"/>
      <c r="KU76" s="15"/>
      <c r="KV76" s="15"/>
      <c r="KW76" s="15"/>
      <c r="KX76" s="15"/>
      <c r="KY76" s="15"/>
      <c r="KZ76" s="15"/>
      <c r="LA76" s="15"/>
      <c r="LB76" s="15"/>
      <c r="LC76" s="15"/>
      <c r="LD76" s="15"/>
      <c r="LE76" s="15"/>
      <c r="LF76" s="15"/>
      <c r="LG76" s="15"/>
      <c r="LH76" s="15"/>
      <c r="LI76" s="15"/>
      <c r="LJ76" s="15"/>
      <c r="LK76" s="15"/>
      <c r="LL76" s="15"/>
      <c r="LM76" s="15"/>
      <c r="LN76" s="15"/>
      <c r="LO76" s="15"/>
      <c r="LP76" s="15"/>
      <c r="LQ76" s="15"/>
      <c r="LR76" s="15"/>
      <c r="LS76" s="15"/>
      <c r="LT76" s="15"/>
      <c r="LU76" s="15"/>
      <c r="LV76" s="15"/>
      <c r="LW76" s="15"/>
      <c r="LX76" s="15"/>
      <c r="LY76" s="15"/>
      <c r="LZ76" s="15"/>
      <c r="MA76" s="15"/>
      <c r="MB76" s="15"/>
      <c r="MC76" s="15"/>
      <c r="MD76" s="15"/>
      <c r="ME76" s="15"/>
      <c r="MF76" s="15"/>
      <c r="MG76" s="15"/>
      <c r="MH76" s="15"/>
      <c r="MI76" s="15"/>
      <c r="MJ76" s="15"/>
      <c r="MK76" s="15"/>
      <c r="ML76" s="15"/>
      <c r="MM76" s="15"/>
      <c r="MN76" s="15"/>
      <c r="MO76" s="15"/>
      <c r="MP76" s="15"/>
      <c r="MQ76" s="15"/>
      <c r="MR76" s="15"/>
      <c r="MS76" s="15"/>
      <c r="MT76" s="15"/>
      <c r="MU76" s="15"/>
      <c r="MV76" s="15"/>
      <c r="MW76" s="15"/>
      <c r="MX76" s="15"/>
      <c r="MY76" s="15"/>
      <c r="MZ76" s="15"/>
      <c r="NA76" s="15"/>
      <c r="NB76" s="15"/>
      <c r="NC76" s="15"/>
      <c r="ND76" s="15"/>
      <c r="NE76" s="15"/>
      <c r="NF76" s="15"/>
      <c r="NG76" s="15"/>
    </row>
    <row r="77" spans="1:371" ht="14.4">
      <c r="A77" s="15"/>
      <c r="B77" s="15"/>
      <c r="C77" s="291"/>
      <c r="D77" s="291"/>
      <c r="E77" s="108"/>
      <c r="F77" s="109" t="s">
        <v>881</v>
      </c>
      <c r="G77" s="108"/>
      <c r="H77" s="108"/>
      <c r="I77" s="109" t="s">
        <v>882</v>
      </c>
      <c r="J77" s="109" t="str">
        <f t="shared" si="7"/>
        <v>Aloochaat</v>
      </c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  <c r="IX77" s="15"/>
      <c r="IY77" s="15"/>
      <c r="IZ77" s="15"/>
      <c r="JA77" s="15"/>
      <c r="JB77" s="15"/>
      <c r="JC77" s="15"/>
      <c r="JD77" s="15"/>
      <c r="JE77" s="15"/>
      <c r="JF77" s="15"/>
      <c r="JG77" s="15"/>
      <c r="JH77" s="15"/>
      <c r="JI77" s="15"/>
      <c r="JJ77" s="15"/>
      <c r="JK77" s="15"/>
      <c r="JL77" s="15"/>
      <c r="JM77" s="15"/>
      <c r="JN77" s="15"/>
      <c r="JO77" s="15"/>
      <c r="JP77" s="15"/>
      <c r="JQ77" s="15"/>
      <c r="JR77" s="15"/>
      <c r="JS77" s="15"/>
      <c r="JT77" s="15"/>
      <c r="JU77" s="15"/>
      <c r="JV77" s="15"/>
      <c r="JW77" s="15"/>
      <c r="JX77" s="15"/>
      <c r="JY77" s="15"/>
      <c r="JZ77" s="15"/>
      <c r="KA77" s="15"/>
      <c r="KB77" s="15"/>
      <c r="KC77" s="15"/>
      <c r="KD77" s="15"/>
      <c r="KE77" s="15"/>
      <c r="KF77" s="15"/>
      <c r="KG77" s="15"/>
      <c r="KH77" s="15"/>
      <c r="KI77" s="15"/>
      <c r="KJ77" s="15"/>
      <c r="KK77" s="15"/>
      <c r="KL77" s="15"/>
      <c r="KM77" s="15"/>
      <c r="KN77" s="15"/>
      <c r="KO77" s="15"/>
      <c r="KP77" s="15"/>
      <c r="KQ77" s="15"/>
      <c r="KR77" s="15"/>
      <c r="KS77" s="15"/>
      <c r="KT77" s="15"/>
      <c r="KU77" s="15"/>
      <c r="KV77" s="15"/>
      <c r="KW77" s="15"/>
      <c r="KX77" s="15"/>
      <c r="KY77" s="15"/>
      <c r="KZ77" s="15"/>
      <c r="LA77" s="15"/>
      <c r="LB77" s="15"/>
      <c r="LC77" s="15"/>
      <c r="LD77" s="15"/>
      <c r="LE77" s="15"/>
      <c r="LF77" s="15"/>
      <c r="LG77" s="15"/>
      <c r="LH77" s="15"/>
      <c r="LI77" s="15"/>
      <c r="LJ77" s="15"/>
      <c r="LK77" s="15"/>
      <c r="LL77" s="15"/>
      <c r="LM77" s="15"/>
      <c r="LN77" s="15"/>
      <c r="LO77" s="15"/>
      <c r="LP77" s="15"/>
      <c r="LQ77" s="15"/>
      <c r="LR77" s="15"/>
      <c r="LS77" s="15"/>
      <c r="LT77" s="15"/>
      <c r="LU77" s="15"/>
      <c r="LV77" s="15"/>
      <c r="LW77" s="15"/>
      <c r="LX77" s="15"/>
      <c r="LY77" s="15"/>
      <c r="LZ77" s="15"/>
      <c r="MA77" s="15"/>
      <c r="MB77" s="15"/>
      <c r="MC77" s="15"/>
      <c r="MD77" s="15"/>
      <c r="ME77" s="15"/>
      <c r="MF77" s="15"/>
      <c r="MG77" s="15"/>
      <c r="MH77" s="15"/>
      <c r="MI77" s="15"/>
      <c r="MJ77" s="15"/>
      <c r="MK77" s="15"/>
      <c r="ML77" s="15"/>
      <c r="MM77" s="15"/>
      <c r="MN77" s="15"/>
      <c r="MO77" s="15"/>
      <c r="MP77" s="15"/>
      <c r="MQ77" s="15"/>
      <c r="MR77" s="15"/>
      <c r="MS77" s="15"/>
      <c r="MT77" s="15"/>
      <c r="MU77" s="15"/>
      <c r="MV77" s="15"/>
      <c r="MW77" s="15"/>
      <c r="MX77" s="15"/>
      <c r="MY77" s="15"/>
      <c r="MZ77" s="15"/>
      <c r="NA77" s="15"/>
      <c r="NB77" s="15"/>
      <c r="NC77" s="15"/>
      <c r="ND77" s="15"/>
      <c r="NE77" s="15"/>
      <c r="NF77" s="15"/>
      <c r="NG77" s="15"/>
    </row>
    <row r="78" spans="1:371" ht="14.4">
      <c r="A78" s="15"/>
      <c r="B78" s="15"/>
      <c r="C78" s="291"/>
      <c r="D78" s="291"/>
      <c r="E78" s="108"/>
      <c r="F78" s="109" t="s">
        <v>883</v>
      </c>
      <c r="G78" s="108"/>
      <c r="H78" s="108"/>
      <c r="I78" s="109" t="s">
        <v>884</v>
      </c>
      <c r="J78" s="109" t="str">
        <f t="shared" si="7"/>
        <v>Down-Town</v>
      </c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  <c r="IX78" s="15"/>
      <c r="IY78" s="15"/>
      <c r="IZ78" s="15"/>
      <c r="JA78" s="15"/>
      <c r="JB78" s="15"/>
      <c r="JC78" s="15"/>
      <c r="JD78" s="15"/>
      <c r="JE78" s="15"/>
      <c r="JF78" s="15"/>
      <c r="JG78" s="15"/>
      <c r="JH78" s="15"/>
      <c r="JI78" s="15"/>
      <c r="JJ78" s="15"/>
      <c r="JK78" s="15"/>
      <c r="JL78" s="15"/>
      <c r="JM78" s="15"/>
      <c r="JN78" s="15"/>
      <c r="JO78" s="15"/>
      <c r="JP78" s="15"/>
      <c r="JQ78" s="15"/>
      <c r="JR78" s="15"/>
      <c r="JS78" s="15"/>
      <c r="JT78" s="15"/>
      <c r="JU78" s="15"/>
      <c r="JV78" s="15"/>
      <c r="JW78" s="15"/>
      <c r="JX78" s="15"/>
      <c r="JY78" s="15"/>
      <c r="JZ78" s="15"/>
      <c r="KA78" s="15"/>
      <c r="KB78" s="15"/>
      <c r="KC78" s="15"/>
      <c r="KD78" s="15"/>
      <c r="KE78" s="15"/>
      <c r="KF78" s="15"/>
      <c r="KG78" s="15"/>
      <c r="KH78" s="15"/>
      <c r="KI78" s="15"/>
      <c r="KJ78" s="15"/>
      <c r="KK78" s="15"/>
      <c r="KL78" s="15"/>
      <c r="KM78" s="15"/>
      <c r="KN78" s="15"/>
      <c r="KO78" s="15"/>
      <c r="KP78" s="15"/>
      <c r="KQ78" s="15"/>
      <c r="KR78" s="15"/>
      <c r="KS78" s="15"/>
      <c r="KT78" s="15"/>
      <c r="KU78" s="15"/>
      <c r="KV78" s="15"/>
      <c r="KW78" s="15"/>
      <c r="KX78" s="15"/>
      <c r="KY78" s="15"/>
      <c r="KZ78" s="15"/>
      <c r="LA78" s="15"/>
      <c r="LB78" s="15"/>
      <c r="LC78" s="15"/>
      <c r="LD78" s="15"/>
      <c r="LE78" s="15"/>
      <c r="LF78" s="15"/>
      <c r="LG78" s="15"/>
      <c r="LH78" s="15"/>
      <c r="LI78" s="15"/>
      <c r="LJ78" s="15"/>
      <c r="LK78" s="15"/>
      <c r="LL78" s="15"/>
      <c r="LM78" s="15"/>
      <c r="LN78" s="15"/>
      <c r="LO78" s="15"/>
      <c r="LP78" s="15"/>
      <c r="LQ78" s="15"/>
      <c r="LR78" s="15"/>
      <c r="LS78" s="15"/>
      <c r="LT78" s="15"/>
      <c r="LU78" s="15"/>
      <c r="LV78" s="15"/>
      <c r="LW78" s="15"/>
      <c r="LX78" s="15"/>
      <c r="LY78" s="15"/>
      <c r="LZ78" s="15"/>
      <c r="MA78" s="15"/>
      <c r="MB78" s="15"/>
      <c r="MC78" s="15"/>
      <c r="MD78" s="15"/>
      <c r="ME78" s="15"/>
      <c r="MF78" s="15"/>
      <c r="MG78" s="15"/>
      <c r="MH78" s="15"/>
      <c r="MI78" s="15"/>
      <c r="MJ78" s="15"/>
      <c r="MK78" s="15"/>
      <c r="ML78" s="15"/>
      <c r="MM78" s="15"/>
      <c r="MN78" s="15"/>
      <c r="MO78" s="15"/>
      <c r="MP78" s="15"/>
      <c r="MQ78" s="15"/>
      <c r="MR78" s="15"/>
      <c r="MS78" s="15"/>
      <c r="MT78" s="15"/>
      <c r="MU78" s="15"/>
      <c r="MV78" s="15"/>
      <c r="MW78" s="15"/>
      <c r="MX78" s="15"/>
      <c r="MY78" s="15"/>
      <c r="MZ78" s="15"/>
      <c r="NA78" s="15"/>
      <c r="NB78" s="15"/>
      <c r="NC78" s="15"/>
      <c r="ND78" s="15"/>
      <c r="NE78" s="15"/>
      <c r="NF78" s="15"/>
      <c r="NG78" s="15"/>
    </row>
    <row r="79" spans="1:371" ht="14.4">
      <c r="A79" s="15"/>
      <c r="B79" s="15"/>
      <c r="C79" s="291"/>
      <c r="D79" s="291"/>
      <c r="E79" s="108"/>
      <c r="F79" s="109" t="s">
        <v>885</v>
      </c>
      <c r="G79" s="108"/>
      <c r="H79" s="108"/>
      <c r="I79" s="109" t="s">
        <v>886</v>
      </c>
      <c r="J79" s="109" t="str">
        <f t="shared" si="7"/>
        <v>Paint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  <c r="IX79" s="15"/>
      <c r="IY79" s="15"/>
      <c r="IZ79" s="15"/>
      <c r="JA79" s="15"/>
      <c r="JB79" s="15"/>
      <c r="JC79" s="15"/>
      <c r="JD79" s="15"/>
      <c r="JE79" s="15"/>
      <c r="JF79" s="15"/>
      <c r="JG79" s="15"/>
      <c r="JH79" s="15"/>
      <c r="JI79" s="15"/>
      <c r="JJ79" s="15"/>
      <c r="JK79" s="15"/>
      <c r="JL79" s="15"/>
      <c r="JM79" s="15"/>
      <c r="JN79" s="15"/>
      <c r="JO79" s="15"/>
      <c r="JP79" s="15"/>
      <c r="JQ79" s="15"/>
      <c r="JR79" s="15"/>
      <c r="JS79" s="15"/>
      <c r="JT79" s="15"/>
      <c r="JU79" s="15"/>
      <c r="JV79" s="15"/>
      <c r="JW79" s="15"/>
      <c r="JX79" s="15"/>
      <c r="JY79" s="15"/>
      <c r="JZ79" s="15"/>
      <c r="KA79" s="15"/>
      <c r="KB79" s="15"/>
      <c r="KC79" s="15"/>
      <c r="KD79" s="15"/>
      <c r="KE79" s="15"/>
      <c r="KF79" s="15"/>
      <c r="KG79" s="15"/>
      <c r="KH79" s="15"/>
      <c r="KI79" s="15"/>
      <c r="KJ79" s="15"/>
      <c r="KK79" s="15"/>
      <c r="KL79" s="15"/>
      <c r="KM79" s="15"/>
      <c r="KN79" s="15"/>
      <c r="KO79" s="15"/>
      <c r="KP79" s="15"/>
      <c r="KQ79" s="15"/>
      <c r="KR79" s="15"/>
      <c r="KS79" s="15"/>
      <c r="KT79" s="15"/>
      <c r="KU79" s="15"/>
      <c r="KV79" s="15"/>
      <c r="KW79" s="15"/>
      <c r="KX79" s="15"/>
      <c r="KY79" s="15"/>
      <c r="KZ79" s="15"/>
      <c r="LA79" s="15"/>
      <c r="LB79" s="15"/>
      <c r="LC79" s="15"/>
      <c r="LD79" s="15"/>
      <c r="LE79" s="15"/>
      <c r="LF79" s="15"/>
      <c r="LG79" s="15"/>
      <c r="LH79" s="15"/>
      <c r="LI79" s="15"/>
      <c r="LJ79" s="15"/>
      <c r="LK79" s="15"/>
      <c r="LL79" s="15"/>
      <c r="LM79" s="15"/>
      <c r="LN79" s="15"/>
      <c r="LO79" s="15"/>
      <c r="LP79" s="15"/>
      <c r="LQ79" s="15"/>
      <c r="LR79" s="15"/>
      <c r="LS79" s="15"/>
      <c r="LT79" s="15"/>
      <c r="LU79" s="15"/>
      <c r="LV79" s="15"/>
      <c r="LW79" s="15"/>
      <c r="LX79" s="15"/>
      <c r="LY79" s="15"/>
      <c r="LZ79" s="15"/>
      <c r="MA79" s="15"/>
      <c r="MB79" s="15"/>
      <c r="MC79" s="15"/>
      <c r="MD79" s="15"/>
      <c r="ME79" s="15"/>
      <c r="MF79" s="15"/>
      <c r="MG79" s="15"/>
      <c r="MH79" s="15"/>
      <c r="MI79" s="15"/>
      <c r="MJ79" s="15"/>
      <c r="MK79" s="15"/>
      <c r="ML79" s="15"/>
      <c r="MM79" s="15"/>
      <c r="MN79" s="15"/>
      <c r="MO79" s="15"/>
      <c r="MP79" s="15"/>
      <c r="MQ79" s="15"/>
      <c r="MR79" s="15"/>
      <c r="MS79" s="15"/>
      <c r="MT79" s="15"/>
      <c r="MU79" s="15"/>
      <c r="MV79" s="15"/>
      <c r="MW79" s="15"/>
      <c r="MX79" s="15"/>
      <c r="MY79" s="15"/>
      <c r="MZ79" s="15"/>
      <c r="NA79" s="15"/>
      <c r="NB79" s="15"/>
      <c r="NC79" s="15"/>
      <c r="ND79" s="15"/>
      <c r="NE79" s="15"/>
      <c r="NF79" s="15"/>
      <c r="NG79" s="15"/>
    </row>
    <row r="80" spans="1:371" ht="14.4">
      <c r="A80" s="15"/>
      <c r="B80" s="15"/>
      <c r="C80" s="283"/>
      <c r="D80" s="283"/>
      <c r="E80" s="108"/>
      <c r="F80" s="109" t="s">
        <v>887</v>
      </c>
      <c r="G80" s="108"/>
      <c r="H80" s="108"/>
      <c r="I80" s="109" t="s">
        <v>888</v>
      </c>
      <c r="J80" s="109" t="str">
        <f t="shared" si="7"/>
        <v>Sam - 123</v>
      </c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  <c r="IX80" s="15"/>
      <c r="IY80" s="15"/>
      <c r="IZ80" s="15"/>
      <c r="JA80" s="15"/>
      <c r="JB80" s="15"/>
      <c r="JC80" s="15"/>
      <c r="JD80" s="15"/>
      <c r="JE80" s="15"/>
      <c r="JF80" s="15"/>
      <c r="JG80" s="15"/>
      <c r="JH80" s="15"/>
      <c r="JI80" s="15"/>
      <c r="JJ80" s="15"/>
      <c r="JK80" s="15"/>
      <c r="JL80" s="15"/>
      <c r="JM80" s="15"/>
      <c r="JN80" s="15"/>
      <c r="JO80" s="15"/>
      <c r="JP80" s="15"/>
      <c r="JQ80" s="15"/>
      <c r="JR80" s="15"/>
      <c r="JS80" s="15"/>
      <c r="JT80" s="15"/>
      <c r="JU80" s="15"/>
      <c r="JV80" s="15"/>
      <c r="JW80" s="15"/>
      <c r="JX80" s="15"/>
      <c r="JY80" s="15"/>
      <c r="JZ80" s="15"/>
      <c r="KA80" s="15"/>
      <c r="KB80" s="15"/>
      <c r="KC80" s="15"/>
      <c r="KD80" s="15"/>
      <c r="KE80" s="15"/>
      <c r="KF80" s="15"/>
      <c r="KG80" s="15"/>
      <c r="KH80" s="15"/>
      <c r="KI80" s="15"/>
      <c r="KJ80" s="15"/>
      <c r="KK80" s="15"/>
      <c r="KL80" s="15"/>
      <c r="KM80" s="15"/>
      <c r="KN80" s="15"/>
      <c r="KO80" s="15"/>
      <c r="KP80" s="15"/>
      <c r="KQ80" s="15"/>
      <c r="KR80" s="15"/>
      <c r="KS80" s="15"/>
      <c r="KT80" s="15"/>
      <c r="KU80" s="15"/>
      <c r="KV80" s="15"/>
      <c r="KW80" s="15"/>
      <c r="KX80" s="15"/>
      <c r="KY80" s="15"/>
      <c r="KZ80" s="15"/>
      <c r="LA80" s="15"/>
      <c r="LB80" s="15"/>
      <c r="LC80" s="15"/>
      <c r="LD80" s="15"/>
      <c r="LE80" s="15"/>
      <c r="LF80" s="15"/>
      <c r="LG80" s="15"/>
      <c r="LH80" s="15"/>
      <c r="LI80" s="15"/>
      <c r="LJ80" s="15"/>
      <c r="LK80" s="15"/>
      <c r="LL80" s="15"/>
      <c r="LM80" s="15"/>
      <c r="LN80" s="15"/>
      <c r="LO80" s="15"/>
      <c r="LP80" s="15"/>
      <c r="LQ80" s="15"/>
      <c r="LR80" s="15"/>
      <c r="LS80" s="15"/>
      <c r="LT80" s="15"/>
      <c r="LU80" s="15"/>
      <c r="LV80" s="15"/>
      <c r="LW80" s="15"/>
      <c r="LX80" s="15"/>
      <c r="LY80" s="15"/>
      <c r="LZ80" s="15"/>
      <c r="MA80" s="15"/>
      <c r="MB80" s="15"/>
      <c r="MC80" s="15"/>
      <c r="MD80" s="15"/>
      <c r="ME80" s="15"/>
      <c r="MF80" s="15"/>
      <c r="MG80" s="15"/>
      <c r="MH80" s="15"/>
      <c r="MI80" s="15"/>
      <c r="MJ80" s="15"/>
      <c r="MK80" s="15"/>
      <c r="ML80" s="15"/>
      <c r="MM80" s="15"/>
      <c r="MN80" s="15"/>
      <c r="MO80" s="15"/>
      <c r="MP80" s="15"/>
      <c r="MQ80" s="15"/>
      <c r="MR80" s="15"/>
      <c r="MS80" s="15"/>
      <c r="MT80" s="15"/>
      <c r="MU80" s="15"/>
      <c r="MV80" s="15"/>
      <c r="MW80" s="15"/>
      <c r="MX80" s="15"/>
      <c r="MY80" s="15"/>
      <c r="MZ80" s="15"/>
      <c r="NA80" s="15"/>
      <c r="NB80" s="15"/>
      <c r="NC80" s="15"/>
      <c r="ND80" s="15"/>
      <c r="NE80" s="15"/>
      <c r="NF80" s="15"/>
      <c r="NG80" s="15"/>
    </row>
    <row r="81" spans="1:10" ht="14.4">
      <c r="A81" s="15"/>
      <c r="B81" s="15"/>
      <c r="C81" s="107"/>
      <c r="D81" s="23"/>
      <c r="E81" s="15"/>
      <c r="F81" s="23"/>
      <c r="G81" s="15"/>
      <c r="H81" s="15"/>
      <c r="I81" s="23"/>
      <c r="J81" s="23"/>
    </row>
    <row r="82" spans="1:10" ht="14.4">
      <c r="A82" s="15"/>
      <c r="B82" s="15"/>
      <c r="C82" s="15"/>
      <c r="D82" s="15"/>
      <c r="E82" s="15"/>
      <c r="F82" s="23"/>
      <c r="G82" s="15"/>
      <c r="H82" s="15"/>
      <c r="I82" s="23"/>
      <c r="J82" s="23"/>
    </row>
    <row r="83" spans="1:10" ht="14.4">
      <c r="A83" s="15"/>
      <c r="B83" s="15"/>
      <c r="C83" s="15"/>
      <c r="D83" s="15"/>
      <c r="E83" s="15"/>
      <c r="F83" s="23"/>
      <c r="G83" s="15"/>
      <c r="H83" s="15"/>
      <c r="I83" s="23"/>
      <c r="J83" s="23"/>
    </row>
    <row r="84" spans="1:10" ht="14.4">
      <c r="A84" s="15"/>
      <c r="B84" s="15"/>
      <c r="C84" s="15"/>
      <c r="D84" s="15"/>
      <c r="E84" s="15"/>
      <c r="F84" s="23"/>
      <c r="G84" s="15"/>
      <c r="H84" s="15"/>
      <c r="I84" s="23"/>
      <c r="J84" s="23"/>
    </row>
    <row r="85" spans="1:10" ht="14.4">
      <c r="A85" s="15"/>
      <c r="B85" s="15"/>
      <c r="C85" s="15"/>
      <c r="D85" s="15"/>
      <c r="E85" s="15"/>
      <c r="F85" s="23"/>
      <c r="G85" s="15"/>
      <c r="H85" s="15"/>
      <c r="I85" s="23"/>
      <c r="J85" s="23"/>
    </row>
    <row r="86" spans="1:10" ht="14.4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spans="1:10" ht="14.4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spans="1:10" ht="14.4">
      <c r="A88" s="15"/>
      <c r="B88" s="15"/>
      <c r="C88" s="107"/>
      <c r="D88" s="23"/>
      <c r="E88" s="15"/>
      <c r="F88" s="23"/>
      <c r="G88" s="15"/>
      <c r="H88" s="15"/>
      <c r="I88" s="23"/>
      <c r="J88" s="23"/>
    </row>
    <row r="89" spans="1:10" ht="14.4">
      <c r="A89" s="15"/>
      <c r="B89" s="15"/>
      <c r="C89" s="15"/>
      <c r="D89" s="15"/>
      <c r="E89" s="15"/>
      <c r="F89" s="23"/>
      <c r="G89" s="15"/>
      <c r="H89" s="15"/>
      <c r="I89" s="23"/>
      <c r="J89" s="23"/>
    </row>
    <row r="90" spans="1:10" ht="14.4">
      <c r="A90" s="15"/>
      <c r="B90" s="15"/>
      <c r="C90" s="15"/>
      <c r="D90" s="15"/>
      <c r="E90" s="15"/>
      <c r="F90" s="23"/>
      <c r="G90" s="15"/>
      <c r="H90" s="15"/>
      <c r="I90" s="23"/>
      <c r="J90" s="23"/>
    </row>
    <row r="91" spans="1:10" ht="14.4">
      <c r="A91" s="15"/>
      <c r="B91" s="15"/>
      <c r="C91" s="15"/>
      <c r="D91" s="15"/>
      <c r="E91" s="15"/>
      <c r="F91" s="23"/>
      <c r="G91" s="15"/>
      <c r="H91" s="15"/>
      <c r="I91" s="23"/>
      <c r="J91" s="23"/>
    </row>
    <row r="92" spans="1:10" ht="14.4">
      <c r="A92" s="15"/>
      <c r="B92" s="15"/>
      <c r="C92" s="15"/>
      <c r="D92" s="15"/>
      <c r="E92" s="15"/>
      <c r="F92" s="23"/>
      <c r="G92" s="15"/>
      <c r="H92" s="15"/>
      <c r="I92" s="23"/>
      <c r="J92" s="23"/>
    </row>
  </sheetData>
  <mergeCells count="31">
    <mergeCell ref="C76:C80"/>
    <mergeCell ref="D76:D80"/>
    <mergeCell ref="C52:C56"/>
    <mergeCell ref="D52:D56"/>
    <mergeCell ref="C58:C62"/>
    <mergeCell ref="D58:D62"/>
    <mergeCell ref="C64:C68"/>
    <mergeCell ref="D64:D68"/>
    <mergeCell ref="D70:D74"/>
    <mergeCell ref="C40:C44"/>
    <mergeCell ref="D40:D44"/>
    <mergeCell ref="C46:C50"/>
    <mergeCell ref="D46:D50"/>
    <mergeCell ref="C70:C74"/>
    <mergeCell ref="C22:C26"/>
    <mergeCell ref="D22:D26"/>
    <mergeCell ref="D28:D32"/>
    <mergeCell ref="C28:C32"/>
    <mergeCell ref="C34:C38"/>
    <mergeCell ref="D34:D38"/>
    <mergeCell ref="C5:C9"/>
    <mergeCell ref="D5:D9"/>
    <mergeCell ref="C11:C15"/>
    <mergeCell ref="D11:D15"/>
    <mergeCell ref="C17:C20"/>
    <mergeCell ref="D17:D20"/>
    <mergeCell ref="C3:C4"/>
    <mergeCell ref="D3:D4"/>
    <mergeCell ref="E3:H4"/>
    <mergeCell ref="I3:I4"/>
    <mergeCell ref="J3:J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3:H47"/>
  <sheetViews>
    <sheetView workbookViewId="0"/>
  </sheetViews>
  <sheetFormatPr defaultColWidth="12.6640625" defaultRowHeight="15.75" customHeight="1"/>
  <cols>
    <col min="7" max="7" width="14.88671875" customWidth="1"/>
  </cols>
  <sheetData>
    <row r="3" spans="2:8">
      <c r="B3" s="119" t="s">
        <v>889</v>
      </c>
      <c r="C3" s="120" t="s">
        <v>2</v>
      </c>
      <c r="D3" s="121"/>
      <c r="E3" s="120" t="s">
        <v>519</v>
      </c>
      <c r="F3" s="121"/>
      <c r="G3" s="120" t="s">
        <v>4</v>
      </c>
      <c r="H3" s="120" t="s">
        <v>5</v>
      </c>
    </row>
    <row r="4" spans="2:8">
      <c r="B4" s="1"/>
      <c r="C4" s="1"/>
      <c r="D4" s="1"/>
      <c r="E4" s="1"/>
      <c r="F4" s="1"/>
      <c r="G4" s="1"/>
    </row>
    <row r="5" spans="2:8">
      <c r="B5" s="1">
        <v>1</v>
      </c>
      <c r="C5" s="122" t="s">
        <v>151</v>
      </c>
      <c r="D5" s="1">
        <v>1</v>
      </c>
      <c r="E5" s="1" t="s">
        <v>18</v>
      </c>
      <c r="F5" s="1" t="s">
        <v>890</v>
      </c>
      <c r="G5" s="1" t="s">
        <v>891</v>
      </c>
      <c r="H5" s="6" t="e">
        <f t="shared" ref="H5:H9" ca="1" si="0">_xludf.CONCAT(E5,F5)</f>
        <v>#NAME?</v>
      </c>
    </row>
    <row r="6" spans="2:8">
      <c r="D6" s="1">
        <v>2</v>
      </c>
      <c r="E6" s="1" t="s">
        <v>892</v>
      </c>
      <c r="F6" s="1" t="s">
        <v>893</v>
      </c>
      <c r="G6" s="1" t="s">
        <v>894</v>
      </c>
      <c r="H6" s="6" t="e">
        <f t="shared" ca="1" si="0"/>
        <v>#NAME?</v>
      </c>
    </row>
    <row r="7" spans="2:8">
      <c r="D7" s="1">
        <v>3</v>
      </c>
      <c r="E7" s="1" t="s">
        <v>895</v>
      </c>
      <c r="F7" s="1" t="s">
        <v>896</v>
      </c>
      <c r="G7" s="1" t="s">
        <v>897</v>
      </c>
      <c r="H7" s="6" t="e">
        <f t="shared" ca="1" si="0"/>
        <v>#NAME?</v>
      </c>
    </row>
    <row r="8" spans="2:8">
      <c r="D8" s="1">
        <v>4</v>
      </c>
      <c r="E8" s="1" t="s">
        <v>898</v>
      </c>
      <c r="F8" s="1" t="s">
        <v>899</v>
      </c>
      <c r="G8" s="1" t="s">
        <v>900</v>
      </c>
      <c r="H8" s="6" t="e">
        <f t="shared" ca="1" si="0"/>
        <v>#NAME?</v>
      </c>
    </row>
    <row r="9" spans="2:8">
      <c r="D9" s="1">
        <v>5</v>
      </c>
      <c r="E9" s="1" t="s">
        <v>901</v>
      </c>
      <c r="F9" s="1" t="s">
        <v>902</v>
      </c>
      <c r="G9" s="1" t="s">
        <v>903</v>
      </c>
      <c r="H9" s="6" t="e">
        <f t="shared" ca="1" si="0"/>
        <v>#NAME?</v>
      </c>
    </row>
    <row r="12" spans="2:8">
      <c r="B12" s="1">
        <v>2</v>
      </c>
      <c r="C12" s="122" t="s">
        <v>6</v>
      </c>
      <c r="D12" s="1">
        <v>1</v>
      </c>
      <c r="E12" s="1" t="s">
        <v>904</v>
      </c>
      <c r="G12" s="1" t="s">
        <v>905</v>
      </c>
      <c r="H12" s="6" t="str">
        <f t="shared" ref="H12:H14" si="1">CLEAN(E12)</f>
        <v>shifa      -qazii</v>
      </c>
    </row>
    <row r="13" spans="2:8">
      <c r="D13" s="1">
        <v>2</v>
      </c>
      <c r="E13" s="1" t="s">
        <v>906</v>
      </c>
      <c r="G13" s="1" t="s">
        <v>907</v>
      </c>
      <c r="H13" s="6" t="str">
        <f t="shared" si="1"/>
        <v>dining table</v>
      </c>
    </row>
    <row r="14" spans="2:8">
      <c r="D14" s="1">
        <v>3</v>
      </c>
      <c r="E14" s="1" t="s">
        <v>908</v>
      </c>
      <c r="G14" s="1" t="s">
        <v>909</v>
      </c>
      <c r="H14" s="6" t="str">
        <f t="shared" si="1"/>
        <v>timeTable</v>
      </c>
    </row>
    <row r="15" spans="2:8">
      <c r="D15" s="1">
        <v>4</v>
      </c>
      <c r="E15" s="1" t="s">
        <v>910</v>
      </c>
      <c r="G15" s="1" t="s">
        <v>909</v>
      </c>
      <c r="H15" s="6" t="str">
        <f>CLEAN(E14)</f>
        <v>timeTable</v>
      </c>
    </row>
    <row r="16" spans="2:8">
      <c r="D16" s="1">
        <v>5</v>
      </c>
      <c r="E16" s="1" t="s">
        <v>911</v>
      </c>
      <c r="G16" s="1" t="s">
        <v>912</v>
      </c>
      <c r="H16" s="6" t="str">
        <f>CLEAN(E16)</f>
        <v>tea Spoon</v>
      </c>
    </row>
    <row r="19" spans="2:8">
      <c r="B19" s="1">
        <v>3</v>
      </c>
      <c r="C19" s="122" t="s">
        <v>44</v>
      </c>
      <c r="D19" s="1">
        <v>1</v>
      </c>
      <c r="E19" s="1" t="s">
        <v>913</v>
      </c>
      <c r="F19" s="1" t="s">
        <v>914</v>
      </c>
      <c r="G19" s="1" t="s">
        <v>915</v>
      </c>
      <c r="H19" s="6" t="b">
        <f t="shared" ref="H19:H23" si="2">EXACT(E19,F19)</f>
        <v>0</v>
      </c>
    </row>
    <row r="20" spans="2:8">
      <c r="D20" s="1">
        <v>2</v>
      </c>
      <c r="E20" s="1" t="s">
        <v>38</v>
      </c>
      <c r="F20" s="1" t="s">
        <v>38</v>
      </c>
      <c r="G20" s="1" t="s">
        <v>916</v>
      </c>
      <c r="H20" s="6" t="b">
        <f t="shared" si="2"/>
        <v>1</v>
      </c>
    </row>
    <row r="21" spans="2:8">
      <c r="D21" s="1">
        <v>3</v>
      </c>
      <c r="E21" s="1" t="s">
        <v>917</v>
      </c>
      <c r="F21" s="1" t="s">
        <v>918</v>
      </c>
      <c r="G21" s="1" t="s">
        <v>919</v>
      </c>
      <c r="H21" s="6" t="b">
        <f t="shared" si="2"/>
        <v>0</v>
      </c>
    </row>
    <row r="22" spans="2:8">
      <c r="D22" s="1">
        <v>4</v>
      </c>
      <c r="E22" s="1" t="s">
        <v>920</v>
      </c>
      <c r="F22" s="1" t="s">
        <v>209</v>
      </c>
      <c r="G22" s="1" t="s">
        <v>921</v>
      </c>
      <c r="H22" s="6" t="b">
        <f t="shared" si="2"/>
        <v>0</v>
      </c>
    </row>
    <row r="23" spans="2:8">
      <c r="D23" s="1">
        <v>5</v>
      </c>
      <c r="E23" s="1" t="s">
        <v>922</v>
      </c>
      <c r="F23" s="1" t="s">
        <v>922</v>
      </c>
      <c r="G23" s="1" t="s">
        <v>923</v>
      </c>
      <c r="H23" s="6" t="b">
        <f t="shared" si="2"/>
        <v>1</v>
      </c>
    </row>
    <row r="26" spans="2:8">
      <c r="B26" s="1">
        <v>3</v>
      </c>
      <c r="C26" s="122" t="s">
        <v>33</v>
      </c>
      <c r="D26" s="1">
        <v>1</v>
      </c>
      <c r="E26" s="1" t="s">
        <v>924</v>
      </c>
      <c r="G26" s="1" t="s">
        <v>925</v>
      </c>
      <c r="H26" s="6">
        <f>FIND("c",E26)</f>
        <v>1</v>
      </c>
    </row>
    <row r="27" spans="2:8">
      <c r="D27" s="1">
        <v>2</v>
      </c>
      <c r="E27" s="1" t="s">
        <v>926</v>
      </c>
      <c r="G27" s="1" t="s">
        <v>927</v>
      </c>
      <c r="H27" s="6">
        <f>FIND("y",E27)</f>
        <v>7</v>
      </c>
    </row>
    <row r="28" spans="2:8">
      <c r="D28" s="1">
        <v>3</v>
      </c>
      <c r="E28" s="1" t="s">
        <v>928</v>
      </c>
      <c r="G28" s="1" t="s">
        <v>929</v>
      </c>
      <c r="H28" s="6">
        <f>FIND("e",E28)</f>
        <v>2</v>
      </c>
    </row>
    <row r="29" spans="2:8">
      <c r="D29" s="1">
        <v>4</v>
      </c>
      <c r="E29" s="1" t="s">
        <v>930</v>
      </c>
      <c r="G29" s="1" t="s">
        <v>931</v>
      </c>
      <c r="H29" s="6">
        <f>FIND("f",E29)</f>
        <v>3</v>
      </c>
    </row>
    <row r="30" spans="2:8">
      <c r="D30" s="1">
        <v>5</v>
      </c>
      <c r="E30" s="1" t="s">
        <v>739</v>
      </c>
      <c r="G30" s="1" t="s">
        <v>932</v>
      </c>
      <c r="H30" s="6">
        <f>FIND("d",E30)</f>
        <v>4</v>
      </c>
    </row>
    <row r="33" spans="2:8">
      <c r="B33" s="1">
        <v>4</v>
      </c>
      <c r="C33" s="122" t="s">
        <v>57</v>
      </c>
      <c r="D33" s="1">
        <v>1</v>
      </c>
      <c r="E33" s="1" t="s">
        <v>335</v>
      </c>
      <c r="G33" s="1" t="s">
        <v>933</v>
      </c>
      <c r="H33" s="6" t="str">
        <f>LEFT(E33,4)</f>
        <v>Biry</v>
      </c>
    </row>
    <row r="34" spans="2:8">
      <c r="D34" s="1">
        <v>2</v>
      </c>
      <c r="E34" s="1" t="s">
        <v>934</v>
      </c>
      <c r="G34" s="1" t="s">
        <v>935</v>
      </c>
      <c r="H34" s="6" t="str">
        <f>LEFT(E34,8)</f>
        <v>veg-biry</v>
      </c>
    </row>
    <row r="35" spans="2:8">
      <c r="D35" s="1">
        <v>3</v>
      </c>
      <c r="E35" s="1" t="s">
        <v>936</v>
      </c>
      <c r="G35" s="1" t="s">
        <v>937</v>
      </c>
      <c r="H35" s="6" t="str">
        <f>LEFT(E35,5)</f>
        <v>panip</v>
      </c>
    </row>
    <row r="36" spans="2:8">
      <c r="D36" s="1">
        <v>4</v>
      </c>
      <c r="E36" s="1" t="s">
        <v>938</v>
      </c>
      <c r="G36" s="1" t="s">
        <v>939</v>
      </c>
      <c r="H36" s="6" t="str">
        <f>LEFT(E36,6)</f>
        <v>aaluch</v>
      </c>
    </row>
    <row r="37" spans="2:8">
      <c r="D37" s="1">
        <v>5</v>
      </c>
      <c r="E37" s="1" t="s">
        <v>940</v>
      </c>
      <c r="G37" s="1" t="s">
        <v>941</v>
      </c>
      <c r="H37" s="6" t="str">
        <f>LEFT(E37,3)</f>
        <v>sev</v>
      </c>
    </row>
    <row r="40" spans="2:8">
      <c r="B40" s="1">
        <v>5</v>
      </c>
      <c r="C40" s="122" t="s">
        <v>123</v>
      </c>
      <c r="D40" s="1">
        <v>1</v>
      </c>
      <c r="E40" s="1" t="s">
        <v>942</v>
      </c>
      <c r="G40" s="1" t="s">
        <v>943</v>
      </c>
      <c r="H40" s="6" t="str">
        <f>RIGHT(E40,5)</f>
        <v>adesh</v>
      </c>
    </row>
    <row r="41" spans="2:8">
      <c r="D41" s="1">
        <v>2</v>
      </c>
      <c r="E41" s="1" t="s">
        <v>944</v>
      </c>
      <c r="G41" s="1" t="s">
        <v>945</v>
      </c>
      <c r="H41" s="6" t="str">
        <f>RIGHT(E41,4)</f>
        <v>Iran</v>
      </c>
    </row>
    <row r="42" spans="2:8">
      <c r="D42" s="1">
        <v>3</v>
      </c>
      <c r="E42" s="1" t="s">
        <v>215</v>
      </c>
      <c r="G42" s="1" t="s">
        <v>946</v>
      </c>
      <c r="H42" s="6" t="str">
        <f>RIGHT(E42,2)</f>
        <v>na</v>
      </c>
    </row>
    <row r="43" spans="2:8">
      <c r="D43" s="1">
        <v>4</v>
      </c>
      <c r="E43" s="1" t="s">
        <v>194</v>
      </c>
      <c r="G43" s="1" t="s">
        <v>947</v>
      </c>
      <c r="H43" s="6" t="str">
        <f>RIGHT(E43,4)</f>
        <v>audi</v>
      </c>
    </row>
    <row r="44" spans="2:8">
      <c r="D44" s="1">
        <v>5</v>
      </c>
      <c r="E44" s="1" t="s">
        <v>948</v>
      </c>
      <c r="G44" s="1" t="s">
        <v>949</v>
      </c>
      <c r="H44" s="6" t="str">
        <f>RIGHT(E44,2)</f>
        <v>ia</v>
      </c>
    </row>
    <row r="47" spans="2:8">
      <c r="B47" s="1">
        <v>6</v>
      </c>
      <c r="C47" s="122" t="s">
        <v>90</v>
      </c>
    </row>
  </sheetData>
  <hyperlinks>
    <hyperlink ref="B3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80"/>
  <sheetViews>
    <sheetView workbookViewId="0"/>
  </sheetViews>
  <sheetFormatPr defaultColWidth="12.6640625" defaultRowHeight="15.75" customHeight="1"/>
  <cols>
    <col min="3" max="3" width="9.77734375" customWidth="1"/>
    <col min="4" max="4" width="17.88671875" customWidth="1"/>
    <col min="6" max="6" width="15.88671875" customWidth="1"/>
    <col min="7" max="7" width="27" customWidth="1"/>
    <col min="8" max="8" width="24" customWidth="1"/>
  </cols>
  <sheetData>
    <row r="1" spans="1:8">
      <c r="A1" s="1" t="s">
        <v>950</v>
      </c>
      <c r="G1" s="123"/>
    </row>
    <row r="4" spans="1:8" ht="15.75" customHeight="1">
      <c r="C4" s="124" t="s">
        <v>146</v>
      </c>
      <c r="D4" s="125" t="s">
        <v>623</v>
      </c>
      <c r="E4" s="126" t="s">
        <v>148</v>
      </c>
      <c r="F4" s="126"/>
      <c r="G4" s="125" t="s">
        <v>149</v>
      </c>
      <c r="H4" s="125" t="s">
        <v>150</v>
      </c>
    </row>
    <row r="5" spans="1:8">
      <c r="C5" s="127"/>
      <c r="D5" s="127"/>
      <c r="E5" s="50"/>
      <c r="F5" s="50"/>
      <c r="G5" s="50"/>
      <c r="H5" s="50"/>
    </row>
    <row r="6" spans="1:8" ht="15.75" customHeight="1">
      <c r="C6" s="73">
        <v>1</v>
      </c>
      <c r="D6" s="128" t="s">
        <v>951</v>
      </c>
      <c r="E6" s="51" t="s">
        <v>206</v>
      </c>
      <c r="F6" s="51" t="s">
        <v>952</v>
      </c>
      <c r="G6" s="51" t="s">
        <v>953</v>
      </c>
      <c r="H6" s="50" t="e">
        <f t="shared" ref="H6:H7" ca="1" si="0">_xludf.CONCAT(E6,F6)</f>
        <v>#NAME?</v>
      </c>
    </row>
    <row r="7" spans="1:8">
      <c r="C7" s="127"/>
      <c r="D7" s="127"/>
      <c r="E7" s="51" t="s">
        <v>954</v>
      </c>
      <c r="F7" s="51" t="s">
        <v>955</v>
      </c>
      <c r="G7" s="51" t="s">
        <v>900</v>
      </c>
      <c r="H7" s="50" t="e">
        <f t="shared" ca="1" si="0"/>
        <v>#NAME?</v>
      </c>
    </row>
    <row r="8" spans="1:8">
      <c r="C8" s="127"/>
      <c r="D8" s="127"/>
      <c r="E8" s="51" t="s">
        <v>338</v>
      </c>
      <c r="F8" s="51" t="s">
        <v>956</v>
      </c>
      <c r="G8" s="51" t="s">
        <v>957</v>
      </c>
      <c r="H8" s="50" t="e">
        <f ca="1">_xludf.CONCAT(E8,F8)</f>
        <v>#NAME?</v>
      </c>
    </row>
    <row r="9" spans="1:8">
      <c r="C9" s="127"/>
      <c r="D9" s="127"/>
      <c r="E9" s="51" t="s">
        <v>958</v>
      </c>
      <c r="F9" s="51" t="s">
        <v>959</v>
      </c>
      <c r="G9" s="51" t="s">
        <v>960</v>
      </c>
      <c r="H9" s="50" t="e">
        <f ca="1">_xludf.CONCAT(E9,F9)</f>
        <v>#NAME?</v>
      </c>
    </row>
    <row r="10" spans="1:8">
      <c r="C10" s="127"/>
      <c r="D10" s="127"/>
      <c r="E10" s="51" t="s">
        <v>961</v>
      </c>
      <c r="F10" s="51" t="s">
        <v>962</v>
      </c>
      <c r="G10" s="51" t="s">
        <v>963</v>
      </c>
      <c r="H10" s="50" t="e">
        <f ca="1">_xludf.CONCAT(E10,F10)</f>
        <v>#NAME?</v>
      </c>
    </row>
    <row r="11" spans="1:8">
      <c r="C11" s="127"/>
      <c r="D11" s="127"/>
      <c r="E11" s="50"/>
      <c r="F11" s="50"/>
      <c r="G11" s="50"/>
      <c r="H11" s="50"/>
    </row>
    <row r="12" spans="1:8">
      <c r="C12" s="127"/>
      <c r="D12" s="127"/>
      <c r="E12" s="50"/>
      <c r="F12" s="50"/>
      <c r="G12" s="50"/>
      <c r="H12" s="50"/>
    </row>
    <row r="13" spans="1:8" ht="15.75" customHeight="1">
      <c r="C13" s="73">
        <v>2</v>
      </c>
      <c r="D13" s="129" t="s">
        <v>6</v>
      </c>
      <c r="E13" s="51" t="s">
        <v>964</v>
      </c>
      <c r="F13" s="50"/>
      <c r="G13" s="51" t="s">
        <v>909</v>
      </c>
      <c r="H13" s="50" t="str">
        <f>CLEAN((E13))</f>
        <v>Pen</v>
      </c>
    </row>
    <row r="14" spans="1:8">
      <c r="C14" s="127"/>
      <c r="D14" s="127"/>
      <c r="E14" s="51" t="s">
        <v>965</v>
      </c>
      <c r="F14" s="50"/>
      <c r="G14" s="51" t="s">
        <v>966</v>
      </c>
      <c r="H14" s="50" t="str">
        <f t="shared" ref="H14:H17" si="1">CLEAN(E14)</f>
        <v>Laptop</v>
      </c>
    </row>
    <row r="15" spans="1:8">
      <c r="C15" s="127"/>
      <c r="D15" s="127"/>
      <c r="E15" s="51" t="s">
        <v>717</v>
      </c>
      <c r="F15" s="50"/>
      <c r="G15" s="51" t="s">
        <v>912</v>
      </c>
      <c r="H15" s="50" t="str">
        <f t="shared" si="1"/>
        <v>Computer</v>
      </c>
    </row>
    <row r="16" spans="1:8">
      <c r="C16" s="127"/>
      <c r="D16" s="127"/>
      <c r="E16" s="51" t="s">
        <v>967</v>
      </c>
      <c r="F16" s="50"/>
      <c r="G16" s="51" t="s">
        <v>968</v>
      </c>
      <c r="H16" s="50" t="str">
        <f t="shared" si="1"/>
        <v>Mobile</v>
      </c>
    </row>
    <row r="17" spans="3:8">
      <c r="C17" s="127"/>
      <c r="D17" s="127"/>
      <c r="E17" s="51" t="s">
        <v>969</v>
      </c>
      <c r="F17" s="50"/>
      <c r="G17" s="51" t="s">
        <v>970</v>
      </c>
      <c r="H17" s="50" t="str">
        <f t="shared" si="1"/>
        <v>CPU</v>
      </c>
    </row>
    <row r="18" spans="3:8">
      <c r="C18" s="127"/>
      <c r="D18" s="127"/>
      <c r="E18" s="50"/>
      <c r="F18" s="50"/>
      <c r="G18" s="50"/>
      <c r="H18" s="50"/>
    </row>
    <row r="19" spans="3:8" ht="15.75" customHeight="1">
      <c r="C19" s="73">
        <v>3</v>
      </c>
      <c r="D19" s="129" t="s">
        <v>44</v>
      </c>
      <c r="E19" s="51" t="s">
        <v>971</v>
      </c>
      <c r="F19" s="51" t="s">
        <v>972</v>
      </c>
      <c r="G19" s="51" t="s">
        <v>915</v>
      </c>
      <c r="H19" s="127" t="b">
        <f t="shared" ref="H19:H23" si="2">EXACT(E19,F19)</f>
        <v>0</v>
      </c>
    </row>
    <row r="20" spans="3:8">
      <c r="C20" s="127"/>
      <c r="D20" s="127"/>
      <c r="E20" s="51" t="s">
        <v>45</v>
      </c>
      <c r="F20" s="51" t="s">
        <v>45</v>
      </c>
      <c r="G20" s="51" t="s">
        <v>916</v>
      </c>
      <c r="H20" s="127" t="b">
        <f t="shared" si="2"/>
        <v>1</v>
      </c>
    </row>
    <row r="21" spans="3:8">
      <c r="C21" s="127"/>
      <c r="D21" s="127"/>
      <c r="E21" s="51" t="s">
        <v>500</v>
      </c>
      <c r="F21" s="51" t="s">
        <v>973</v>
      </c>
      <c r="G21" s="51" t="s">
        <v>919</v>
      </c>
      <c r="H21" s="127" t="b">
        <f t="shared" si="2"/>
        <v>0</v>
      </c>
    </row>
    <row r="22" spans="3:8">
      <c r="C22" s="127"/>
      <c r="D22" s="127"/>
      <c r="E22" s="51" t="s">
        <v>468</v>
      </c>
      <c r="F22" s="51" t="s">
        <v>468</v>
      </c>
      <c r="G22" s="51" t="s">
        <v>921</v>
      </c>
      <c r="H22" s="127" t="b">
        <f t="shared" si="2"/>
        <v>1</v>
      </c>
    </row>
    <row r="23" spans="3:8">
      <c r="C23" s="127"/>
      <c r="D23" s="127"/>
      <c r="E23" s="51" t="s">
        <v>974</v>
      </c>
      <c r="F23" s="51" t="s">
        <v>975</v>
      </c>
      <c r="G23" s="51" t="s">
        <v>923</v>
      </c>
      <c r="H23" s="127" t="b">
        <f t="shared" si="2"/>
        <v>0</v>
      </c>
    </row>
    <row r="24" spans="3:8" ht="13.2">
      <c r="C24" s="127"/>
      <c r="D24" s="127"/>
      <c r="E24" s="50"/>
      <c r="F24" s="50"/>
      <c r="G24" s="50"/>
      <c r="H24" s="50"/>
    </row>
    <row r="25" spans="3:8" ht="17.399999999999999">
      <c r="C25" s="73">
        <v>4</v>
      </c>
      <c r="D25" s="130" t="s">
        <v>33</v>
      </c>
      <c r="E25" s="51" t="s">
        <v>976</v>
      </c>
      <c r="F25" s="50"/>
      <c r="G25" s="51" t="s">
        <v>977</v>
      </c>
      <c r="H25" s="131">
        <f>FIND("b",E25,5)</f>
        <v>5</v>
      </c>
    </row>
    <row r="26" spans="3:8" ht="13.2">
      <c r="C26" s="127"/>
      <c r="D26" s="127"/>
      <c r="E26" s="51" t="s">
        <v>375</v>
      </c>
      <c r="F26" s="50"/>
      <c r="G26" s="51" t="s">
        <v>978</v>
      </c>
      <c r="H26" s="131">
        <f>FIND("i",E26,2)</f>
        <v>2</v>
      </c>
    </row>
    <row r="27" spans="3:8" ht="13.2">
      <c r="C27" s="127"/>
      <c r="D27" s="127"/>
      <c r="E27" s="51" t="s">
        <v>371</v>
      </c>
      <c r="F27" s="50"/>
      <c r="G27" s="51" t="s">
        <v>979</v>
      </c>
      <c r="H27" s="131">
        <f>FIND("d",E27,4)</f>
        <v>4</v>
      </c>
    </row>
    <row r="28" spans="3:8" ht="13.2">
      <c r="C28" s="127"/>
      <c r="D28" s="127"/>
      <c r="E28" s="51" t="s">
        <v>379</v>
      </c>
      <c r="F28" s="50"/>
      <c r="G28" s="51" t="s">
        <v>980</v>
      </c>
      <c r="H28" s="131">
        <f>FIND("o",E28,7)</f>
        <v>7</v>
      </c>
    </row>
    <row r="29" spans="3:8" ht="13.2">
      <c r="C29" s="127"/>
      <c r="D29" s="127"/>
      <c r="E29" s="51" t="s">
        <v>981</v>
      </c>
      <c r="F29" s="50"/>
      <c r="G29" s="51" t="s">
        <v>982</v>
      </c>
      <c r="H29" s="131">
        <f>FIND("k",E29,8)</f>
        <v>8</v>
      </c>
    </row>
    <row r="30" spans="3:8" ht="13.2">
      <c r="C30" s="127"/>
      <c r="D30" s="127"/>
      <c r="E30" s="50"/>
      <c r="F30" s="50"/>
      <c r="G30" s="50"/>
      <c r="H30" s="50"/>
    </row>
    <row r="31" spans="3:8" ht="19.2">
      <c r="C31" s="73">
        <v>5</v>
      </c>
      <c r="D31" s="132" t="s">
        <v>57</v>
      </c>
      <c r="E31" s="51" t="s">
        <v>983</v>
      </c>
      <c r="F31" s="50"/>
      <c r="G31" s="51" t="s">
        <v>984</v>
      </c>
      <c r="H31" s="50" t="str">
        <f>LEFT(E31,2)</f>
        <v>TC</v>
      </c>
    </row>
    <row r="32" spans="3:8" ht="13.2">
      <c r="C32" s="127"/>
      <c r="D32" s="127"/>
      <c r="E32" s="51" t="s">
        <v>985</v>
      </c>
      <c r="F32" s="50"/>
      <c r="G32" s="51" t="s">
        <v>986</v>
      </c>
      <c r="H32" s="50" t="str">
        <f>LEFT(E32,4)</f>
        <v>Reli</v>
      </c>
    </row>
    <row r="33" spans="3:8" ht="13.2">
      <c r="C33" s="127"/>
      <c r="D33" s="127"/>
      <c r="E33" s="51" t="s">
        <v>987</v>
      </c>
      <c r="F33" s="50"/>
      <c r="G33" s="51" t="s">
        <v>988</v>
      </c>
      <c r="H33" s="50" t="str">
        <f>LEFT(E33,3)</f>
        <v>Len</v>
      </c>
    </row>
    <row r="34" spans="3:8" ht="13.2">
      <c r="C34" s="127"/>
      <c r="D34" s="127"/>
      <c r="E34" s="51" t="s">
        <v>989</v>
      </c>
      <c r="F34" s="50"/>
      <c r="G34" s="51" t="s">
        <v>990</v>
      </c>
      <c r="H34" s="50" t="str">
        <f>LEFT(E34,4)</f>
        <v>Niko</v>
      </c>
    </row>
    <row r="35" spans="3:8" ht="13.2">
      <c r="C35" s="127"/>
      <c r="D35" s="127"/>
      <c r="E35" s="51" t="s">
        <v>991</v>
      </c>
      <c r="F35" s="50"/>
      <c r="G35" s="51" t="s">
        <v>992</v>
      </c>
      <c r="H35" s="50" t="str">
        <f>LEFT(E35,6)</f>
        <v>Samsun</v>
      </c>
    </row>
    <row r="36" spans="3:8" ht="13.2">
      <c r="C36" s="127"/>
      <c r="D36" s="127"/>
      <c r="E36" s="50"/>
      <c r="F36" s="50"/>
      <c r="G36" s="50"/>
      <c r="H36" s="50"/>
    </row>
    <row r="37" spans="3:8" ht="19.2">
      <c r="C37" s="73">
        <v>6</v>
      </c>
      <c r="D37" s="132" t="s">
        <v>123</v>
      </c>
      <c r="E37" s="51" t="s">
        <v>157</v>
      </c>
      <c r="F37" s="50"/>
      <c r="G37" s="51" t="s">
        <v>993</v>
      </c>
      <c r="H37" s="50" t="str">
        <f>RIGHT(E37,3)</f>
        <v>bai</v>
      </c>
    </row>
    <row r="38" spans="3:8" ht="13.2">
      <c r="C38" s="127"/>
      <c r="D38" s="127"/>
      <c r="E38" s="51" t="s">
        <v>994</v>
      </c>
      <c r="F38" s="50"/>
      <c r="G38" s="51" t="s">
        <v>995</v>
      </c>
      <c r="H38" s="50" t="str">
        <f>RIGHT(E38,2)</f>
        <v>ur</v>
      </c>
    </row>
    <row r="39" spans="3:8" ht="13.2">
      <c r="C39" s="127"/>
      <c r="D39" s="127"/>
      <c r="E39" s="51" t="s">
        <v>152</v>
      </c>
      <c r="F39" s="50"/>
      <c r="G39" s="51" t="s">
        <v>996</v>
      </c>
      <c r="H39" s="50" t="str">
        <f>RIGHT(E39,5)</f>
        <v>ennai</v>
      </c>
    </row>
    <row r="40" spans="3:8" ht="13.2">
      <c r="C40" s="127"/>
      <c r="D40" s="127"/>
      <c r="E40" s="51" t="s">
        <v>166</v>
      </c>
      <c r="F40" s="50"/>
      <c r="G40" s="51" t="s">
        <v>997</v>
      </c>
      <c r="H40" s="50" t="str">
        <f>RIGHT(E40,7)</f>
        <v>derabad</v>
      </c>
    </row>
    <row r="41" spans="3:8" ht="13.2">
      <c r="C41" s="127"/>
      <c r="D41" s="127"/>
      <c r="E41" s="51" t="s">
        <v>998</v>
      </c>
      <c r="F41" s="50"/>
      <c r="G41" s="50"/>
      <c r="H41" s="50" t="str">
        <f>RIGHT(E41,3)</f>
        <v>rat</v>
      </c>
    </row>
    <row r="42" spans="3:8" ht="13.2">
      <c r="C42" s="127"/>
      <c r="D42" s="127"/>
      <c r="E42" s="50"/>
      <c r="F42" s="50"/>
      <c r="G42" s="50"/>
      <c r="H42" s="50"/>
    </row>
    <row r="43" spans="3:8" ht="16.8">
      <c r="C43" s="73">
        <v>7</v>
      </c>
      <c r="D43" s="129" t="s">
        <v>79</v>
      </c>
      <c r="E43" s="51" t="s">
        <v>999</v>
      </c>
      <c r="F43" s="50"/>
      <c r="G43" s="51" t="s">
        <v>1000</v>
      </c>
      <c r="H43" s="50" t="str">
        <f t="shared" ref="H43:H47" si="3">LOWER(E43)</f>
        <v>table</v>
      </c>
    </row>
    <row r="44" spans="3:8" ht="13.2">
      <c r="C44" s="127"/>
      <c r="D44" s="127"/>
      <c r="E44" s="51" t="s">
        <v>1001</v>
      </c>
      <c r="F44" s="50"/>
      <c r="G44" s="51" t="s">
        <v>1002</v>
      </c>
      <c r="H44" s="50" t="str">
        <f t="shared" si="3"/>
        <v>chair</v>
      </c>
    </row>
    <row r="45" spans="3:8" ht="13.2">
      <c r="C45" s="127"/>
      <c r="D45" s="127"/>
      <c r="E45" s="51" t="s">
        <v>1003</v>
      </c>
      <c r="F45" s="50"/>
      <c r="G45" s="51" t="s">
        <v>1004</v>
      </c>
      <c r="H45" s="50" t="str">
        <f t="shared" si="3"/>
        <v>fan</v>
      </c>
    </row>
    <row r="46" spans="3:8" ht="13.2">
      <c r="C46" s="127"/>
      <c r="D46" s="127"/>
      <c r="E46" s="51" t="s">
        <v>1005</v>
      </c>
      <c r="F46" s="50"/>
      <c r="G46" s="51" t="s">
        <v>1006</v>
      </c>
      <c r="H46" s="50" t="str">
        <f t="shared" si="3"/>
        <v>window</v>
      </c>
    </row>
    <row r="47" spans="3:8" ht="13.2">
      <c r="C47" s="127"/>
      <c r="D47" s="127"/>
      <c r="E47" s="51" t="s">
        <v>1007</v>
      </c>
      <c r="F47" s="50"/>
      <c r="G47" s="51" t="s">
        <v>1008</v>
      </c>
      <c r="H47" s="50" t="str">
        <f t="shared" si="3"/>
        <v>bottle</v>
      </c>
    </row>
    <row r="48" spans="3:8" ht="13.2">
      <c r="C48" s="127"/>
      <c r="D48" s="127"/>
      <c r="E48" s="50"/>
      <c r="F48" s="50"/>
      <c r="G48" s="50"/>
      <c r="H48" s="50"/>
    </row>
    <row r="49" spans="3:8" ht="17.399999999999999">
      <c r="C49" s="73">
        <v>8</v>
      </c>
      <c r="D49" s="130" t="s">
        <v>134</v>
      </c>
      <c r="E49" s="51" t="s">
        <v>1009</v>
      </c>
      <c r="F49" s="50"/>
      <c r="G49" s="51" t="s">
        <v>1010</v>
      </c>
      <c r="H49" s="50" t="str">
        <f t="shared" ref="H49:H53" si="4">UPPER(E49)</f>
        <v>PAPER</v>
      </c>
    </row>
    <row r="50" spans="3:8" ht="13.2">
      <c r="C50" s="127"/>
      <c r="D50" s="127"/>
      <c r="E50" s="51" t="s">
        <v>1011</v>
      </c>
      <c r="F50" s="50"/>
      <c r="G50" s="51" t="s">
        <v>1012</v>
      </c>
      <c r="H50" s="50" t="str">
        <f t="shared" si="4"/>
        <v>MARKER</v>
      </c>
    </row>
    <row r="51" spans="3:8" ht="13.2">
      <c r="C51" s="127"/>
      <c r="D51" s="127"/>
      <c r="E51" s="51" t="s">
        <v>1013</v>
      </c>
      <c r="F51" s="50"/>
      <c r="G51" s="51" t="s">
        <v>1014</v>
      </c>
      <c r="H51" s="50" t="str">
        <f t="shared" si="4"/>
        <v>FOLDER</v>
      </c>
    </row>
    <row r="52" spans="3:8" ht="13.2">
      <c r="C52" s="127"/>
      <c r="D52" s="127"/>
      <c r="E52" s="51" t="s">
        <v>1015</v>
      </c>
      <c r="F52" s="50"/>
      <c r="G52" s="51" t="s">
        <v>1016</v>
      </c>
      <c r="H52" s="50" t="str">
        <f t="shared" si="4"/>
        <v>CAR</v>
      </c>
    </row>
    <row r="53" spans="3:8" ht="13.2">
      <c r="C53" s="127"/>
      <c r="D53" s="127"/>
      <c r="E53" s="51" t="s">
        <v>1017</v>
      </c>
      <c r="F53" s="50"/>
      <c r="G53" s="51" t="s">
        <v>1018</v>
      </c>
      <c r="H53" s="50" t="str">
        <f t="shared" si="4"/>
        <v>FOOD</v>
      </c>
    </row>
    <row r="54" spans="3:8" ht="13.2">
      <c r="C54" s="127"/>
      <c r="D54" s="127"/>
      <c r="E54" s="50"/>
      <c r="F54" s="50"/>
      <c r="G54" s="50"/>
      <c r="H54" s="50"/>
    </row>
    <row r="55" spans="3:8" ht="17.399999999999999">
      <c r="C55" s="73">
        <v>9</v>
      </c>
      <c r="D55" s="130" t="s">
        <v>68</v>
      </c>
      <c r="E55" s="51" t="s">
        <v>958</v>
      </c>
      <c r="F55" s="50"/>
      <c r="G55" s="51" t="s">
        <v>494</v>
      </c>
      <c r="H55" s="131">
        <f t="shared" ref="H55:H59" si="5">LEN(E55)</f>
        <v>5</v>
      </c>
    </row>
    <row r="56" spans="3:8" ht="13.2">
      <c r="C56" s="127"/>
      <c r="D56" s="127"/>
      <c r="E56" s="51" t="s">
        <v>1019</v>
      </c>
      <c r="F56" s="50"/>
      <c r="G56" s="51" t="s">
        <v>1020</v>
      </c>
      <c r="H56" s="131">
        <f t="shared" si="5"/>
        <v>7</v>
      </c>
    </row>
    <row r="57" spans="3:8" ht="13.2">
      <c r="C57" s="127"/>
      <c r="D57" s="127"/>
      <c r="E57" s="51" t="s">
        <v>1021</v>
      </c>
      <c r="F57" s="50"/>
      <c r="G57" s="51" t="s">
        <v>1022</v>
      </c>
      <c r="H57" s="131">
        <f t="shared" si="5"/>
        <v>6</v>
      </c>
    </row>
    <row r="58" spans="3:8" ht="13.2">
      <c r="C58" s="127"/>
      <c r="D58" s="127"/>
      <c r="E58" s="51" t="s">
        <v>1023</v>
      </c>
      <c r="F58" s="50"/>
      <c r="G58" s="51" t="s">
        <v>1024</v>
      </c>
      <c r="H58" s="131">
        <f t="shared" si="5"/>
        <v>4</v>
      </c>
    </row>
    <row r="59" spans="3:8" ht="13.2">
      <c r="C59" s="127"/>
      <c r="D59" s="127"/>
      <c r="E59" s="51" t="s">
        <v>457</v>
      </c>
      <c r="F59" s="50"/>
      <c r="G59" s="51" t="s">
        <v>1025</v>
      </c>
      <c r="H59" s="131">
        <f t="shared" si="5"/>
        <v>5</v>
      </c>
    </row>
    <row r="60" spans="3:8" ht="13.2">
      <c r="C60" s="127"/>
      <c r="D60" s="127"/>
      <c r="E60" s="50"/>
      <c r="F60" s="50"/>
      <c r="G60" s="50"/>
      <c r="H60" s="50"/>
    </row>
    <row r="61" spans="3:8" ht="17.399999999999999">
      <c r="C61" s="73">
        <v>10</v>
      </c>
      <c r="D61" s="130" t="s">
        <v>90</v>
      </c>
      <c r="E61" s="51" t="s">
        <v>1026</v>
      </c>
      <c r="F61" s="50"/>
      <c r="G61" s="51" t="s">
        <v>1027</v>
      </c>
      <c r="H61" s="50" t="str">
        <f>MID(E61,4,2)</f>
        <v>ba</v>
      </c>
    </row>
    <row r="62" spans="3:8" ht="13.2">
      <c r="C62" s="127"/>
      <c r="D62" s="127"/>
      <c r="E62" s="51" t="s">
        <v>1028</v>
      </c>
      <c r="F62" s="50"/>
      <c r="G62" s="51" t="s">
        <v>1029</v>
      </c>
      <c r="H62" s="50" t="str">
        <f>MID(E62,3,6)</f>
        <v>nuary</v>
      </c>
    </row>
    <row r="63" spans="3:8" ht="13.2">
      <c r="C63" s="127"/>
      <c r="D63" s="127"/>
      <c r="E63" s="51" t="s">
        <v>1030</v>
      </c>
      <c r="F63" s="50"/>
      <c r="G63" s="51" t="s">
        <v>1031</v>
      </c>
      <c r="H63" s="50" t="str">
        <f>MID(E63,5,7)</f>
        <v>table</v>
      </c>
    </row>
    <row r="64" spans="3:8" ht="13.2">
      <c r="C64" s="127"/>
      <c r="D64" s="127"/>
      <c r="E64" s="51" t="s">
        <v>1032</v>
      </c>
      <c r="F64" s="50"/>
      <c r="G64" s="51" t="s">
        <v>1033</v>
      </c>
      <c r="H64" s="50" t="str">
        <f>MID(E64,3,4)</f>
        <v>nth</v>
      </c>
    </row>
    <row r="65" spans="3:8" ht="13.2">
      <c r="C65" s="127"/>
      <c r="D65" s="127"/>
      <c r="E65" s="51" t="s">
        <v>1034</v>
      </c>
      <c r="F65" s="50"/>
      <c r="G65" s="51" t="s">
        <v>1035</v>
      </c>
      <c r="H65" s="50" t="str">
        <f>MID(E65,2,5)</f>
        <v>atch</v>
      </c>
    </row>
    <row r="66" spans="3:8" ht="13.2">
      <c r="C66" s="127"/>
      <c r="D66" s="127"/>
      <c r="E66" s="50"/>
      <c r="F66" s="50"/>
      <c r="G66" s="50"/>
      <c r="H66" s="50"/>
    </row>
    <row r="67" spans="3:8" ht="17.399999999999999">
      <c r="C67" s="73">
        <v>11</v>
      </c>
      <c r="D67" s="130" t="s">
        <v>112</v>
      </c>
      <c r="E67" s="51" t="s">
        <v>1036</v>
      </c>
      <c r="F67" s="50"/>
      <c r="G67" s="51" t="s">
        <v>1037</v>
      </c>
      <c r="H67" s="50" t="str">
        <f>REPLACE(E67,4,2,"n")</f>
        <v>Barnh</v>
      </c>
    </row>
    <row r="68" spans="3:8" ht="13.2">
      <c r="C68" s="127"/>
      <c r="D68" s="127"/>
      <c r="E68" s="51" t="s">
        <v>1038</v>
      </c>
      <c r="F68" s="50"/>
      <c r="G68" s="51" t="s">
        <v>1039</v>
      </c>
      <c r="H68" s="50" t="str">
        <f>REPLACE(E68,3,5,"v")</f>
        <v>Sav</v>
      </c>
    </row>
    <row r="69" spans="3:8" ht="13.2">
      <c r="C69" s="127"/>
      <c r="D69" s="127"/>
      <c r="E69" s="51" t="s">
        <v>1040</v>
      </c>
      <c r="F69" s="50"/>
      <c r="G69" s="51" t="s">
        <v>1041</v>
      </c>
      <c r="H69" s="50" t="str">
        <f>REPLACE(E69,4,6,"b")</f>
        <v>Pasb</v>
      </c>
    </row>
    <row r="70" spans="3:8" ht="13.2">
      <c r="C70" s="127"/>
      <c r="D70" s="127"/>
      <c r="E70" s="51" t="s">
        <v>1042</v>
      </c>
      <c r="F70" s="50"/>
      <c r="G70" s="51" t="s">
        <v>1043</v>
      </c>
      <c r="H70" s="50" t="str">
        <f>REPLACE(E70,6,3,"t")</f>
        <v>Custot</v>
      </c>
    </row>
    <row r="71" spans="3:8" ht="13.2">
      <c r="C71" s="127"/>
      <c r="D71" s="127"/>
      <c r="E71" s="51" t="s">
        <v>1044</v>
      </c>
      <c r="F71" s="50"/>
      <c r="G71" s="51" t="s">
        <v>1045</v>
      </c>
      <c r="H71" s="50" t="str">
        <f>REPLACE(E71,5,2,"u")</f>
        <v>Currut</v>
      </c>
    </row>
    <row r="72" spans="3:8" ht="13.2">
      <c r="C72" s="127"/>
      <c r="D72" s="127"/>
      <c r="E72" s="50"/>
      <c r="F72" s="50"/>
      <c r="G72" s="50"/>
      <c r="H72" s="50"/>
    </row>
    <row r="73" spans="3:8" ht="19.2">
      <c r="C73" s="73">
        <v>12</v>
      </c>
      <c r="D73" s="132" t="s">
        <v>101</v>
      </c>
      <c r="E73" s="51" t="s">
        <v>1046</v>
      </c>
      <c r="F73" s="50"/>
      <c r="G73" s="51" t="s">
        <v>1047</v>
      </c>
      <c r="H73" s="50" t="str">
        <f t="shared" ref="H73:H77" si="6">PROPER(E73)</f>
        <v>Online Class</v>
      </c>
    </row>
    <row r="74" spans="3:8" ht="13.2">
      <c r="C74" s="127"/>
      <c r="D74" s="127"/>
      <c r="E74" s="51" t="s">
        <v>1048</v>
      </c>
      <c r="F74" s="50"/>
      <c r="G74" s="51" t="s">
        <v>1049</v>
      </c>
      <c r="H74" s="50" t="str">
        <f t="shared" si="6"/>
        <v>Business Studies</v>
      </c>
    </row>
    <row r="75" spans="3:8" ht="13.2">
      <c r="C75" s="127"/>
      <c r="D75" s="127"/>
      <c r="E75" s="51" t="s">
        <v>1050</v>
      </c>
      <c r="F75" s="50"/>
      <c r="G75" s="51" t="s">
        <v>509</v>
      </c>
      <c r="H75" s="50" t="str">
        <f t="shared" si="6"/>
        <v>Computer Science</v>
      </c>
    </row>
    <row r="76" spans="3:8" ht="13.2">
      <c r="C76" s="127"/>
      <c r="D76" s="127"/>
      <c r="E76" s="51" t="s">
        <v>1051</v>
      </c>
      <c r="F76" s="50"/>
      <c r="G76" s="51" t="s">
        <v>510</v>
      </c>
      <c r="H76" s="50" t="str">
        <f t="shared" si="6"/>
        <v>Digital Marketing</v>
      </c>
    </row>
    <row r="77" spans="3:8" ht="13.2">
      <c r="C77" s="127"/>
      <c r="D77" s="127"/>
      <c r="E77" s="51" t="s">
        <v>1052</v>
      </c>
      <c r="F77" s="50"/>
      <c r="G77" s="51" t="s">
        <v>511</v>
      </c>
      <c r="H77" s="50" t="str">
        <f t="shared" si="6"/>
        <v>Technical Skills</v>
      </c>
    </row>
    <row r="78" spans="3:8" ht="13.2">
      <c r="C78" s="127"/>
      <c r="D78" s="127"/>
      <c r="E78" s="50"/>
      <c r="F78" s="50"/>
      <c r="G78" s="50"/>
      <c r="H78" s="50"/>
    </row>
    <row r="79" spans="3:8" ht="13.2">
      <c r="C79" s="127"/>
      <c r="D79" s="127"/>
      <c r="E79" s="50"/>
      <c r="F79" s="50"/>
      <c r="G79" s="50"/>
      <c r="H79" s="50"/>
    </row>
    <row r="80" spans="3:8" ht="13.2">
      <c r="C80" s="127"/>
      <c r="D80" s="50"/>
      <c r="E80" s="50"/>
      <c r="F80" s="50"/>
      <c r="G80" s="50"/>
      <c r="H80" s="50"/>
    </row>
  </sheetData>
  <hyperlinks>
    <hyperlink ref="C4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31"/>
  <sheetViews>
    <sheetView workbookViewId="0"/>
  </sheetViews>
  <sheetFormatPr defaultColWidth="12.6640625" defaultRowHeight="15.75" customHeight="1"/>
  <cols>
    <col min="5" max="5" width="18" customWidth="1"/>
    <col min="6" max="6" width="15.88671875" customWidth="1"/>
  </cols>
  <sheetData>
    <row r="1" spans="1:6">
      <c r="A1" s="1" t="s">
        <v>1053</v>
      </c>
    </row>
    <row r="3" spans="1:6">
      <c r="B3" s="133" t="s">
        <v>1054</v>
      </c>
      <c r="C3" s="133" t="s">
        <v>2</v>
      </c>
      <c r="D3" s="133" t="s">
        <v>519</v>
      </c>
      <c r="E3" s="133" t="s">
        <v>4</v>
      </c>
      <c r="F3" s="133" t="s">
        <v>5</v>
      </c>
    </row>
    <row r="4" spans="1:6">
      <c r="B4" s="14"/>
      <c r="C4" s="14"/>
      <c r="D4" s="14"/>
      <c r="E4" s="14"/>
      <c r="F4" s="14"/>
    </row>
    <row r="5" spans="1:6">
      <c r="B5" s="134">
        <v>1</v>
      </c>
      <c r="C5" s="134" t="s">
        <v>1055</v>
      </c>
      <c r="D5" s="134" t="s">
        <v>1056</v>
      </c>
      <c r="E5" s="134" t="s">
        <v>1057</v>
      </c>
      <c r="F5" s="14" t="e">
        <f ca="1">_xludf.CONCAT(D5,D6)</f>
        <v>#NAME?</v>
      </c>
    </row>
    <row r="6" spans="1:6">
      <c r="B6" s="14"/>
      <c r="C6" s="14"/>
      <c r="D6" s="134" t="s">
        <v>1058</v>
      </c>
      <c r="E6" s="14"/>
      <c r="F6" s="14"/>
    </row>
    <row r="7" spans="1:6">
      <c r="B7" s="134"/>
      <c r="C7" s="134"/>
      <c r="D7" s="14"/>
      <c r="E7" s="14"/>
      <c r="F7" s="14"/>
    </row>
    <row r="8" spans="1:6">
      <c r="B8" s="134">
        <v>2</v>
      </c>
      <c r="C8" s="134" t="s">
        <v>1055</v>
      </c>
      <c r="D8" s="134" t="s">
        <v>898</v>
      </c>
      <c r="E8" s="134" t="s">
        <v>1059</v>
      </c>
      <c r="F8" s="134" t="e">
        <f ca="1">_xludf.CONCAT(D8,D9)</f>
        <v>#NAME?</v>
      </c>
    </row>
    <row r="9" spans="1:6">
      <c r="B9" s="14"/>
      <c r="C9" s="14"/>
      <c r="D9" s="134" t="s">
        <v>895</v>
      </c>
      <c r="E9" s="14"/>
      <c r="F9" s="14"/>
    </row>
    <row r="10" spans="1:6">
      <c r="B10" s="14"/>
      <c r="C10" s="14"/>
      <c r="D10" s="14"/>
      <c r="E10" s="14"/>
      <c r="F10" s="14"/>
    </row>
    <row r="11" spans="1:6">
      <c r="B11" s="134">
        <v>3</v>
      </c>
      <c r="C11" s="134" t="s">
        <v>1055</v>
      </c>
      <c r="D11" s="134" t="s">
        <v>1060</v>
      </c>
      <c r="E11" s="134" t="s">
        <v>1061</v>
      </c>
      <c r="F11" s="14" t="e">
        <f ca="1">_xludf.CONCAT(D11,D12)</f>
        <v>#NAME?</v>
      </c>
    </row>
    <row r="12" spans="1:6">
      <c r="B12" s="14"/>
      <c r="C12" s="14"/>
      <c r="D12" s="134" t="s">
        <v>1062</v>
      </c>
      <c r="E12" s="14"/>
      <c r="F12" s="14"/>
    </row>
    <row r="13" spans="1:6">
      <c r="B13" s="14"/>
      <c r="C13" s="14"/>
      <c r="D13" s="14"/>
      <c r="E13" s="14"/>
      <c r="F13" s="14"/>
    </row>
    <row r="14" spans="1:6">
      <c r="B14" s="134">
        <v>4</v>
      </c>
      <c r="C14" s="134" t="s">
        <v>1055</v>
      </c>
      <c r="D14" s="134" t="s">
        <v>1063</v>
      </c>
      <c r="E14" s="134" t="s">
        <v>1064</v>
      </c>
      <c r="F14" s="14" t="e">
        <f ca="1">_xludf.CONCAT(D14,D15)</f>
        <v>#NAME?</v>
      </c>
    </row>
    <row r="15" spans="1:6">
      <c r="B15" s="14"/>
      <c r="C15" s="14"/>
      <c r="D15" s="134" t="s">
        <v>1065</v>
      </c>
      <c r="E15" s="14"/>
      <c r="F15" s="14"/>
    </row>
    <row r="16" spans="1:6">
      <c r="B16" s="14"/>
      <c r="C16" s="14"/>
      <c r="D16" s="14"/>
      <c r="E16" s="14"/>
      <c r="F16" s="14"/>
    </row>
    <row r="17" spans="2:6">
      <c r="B17" s="134">
        <v>5</v>
      </c>
      <c r="C17" s="134" t="s">
        <v>1055</v>
      </c>
      <c r="D17" s="134" t="s">
        <v>999</v>
      </c>
      <c r="E17" s="134" t="s">
        <v>1066</v>
      </c>
      <c r="F17" s="14" t="e">
        <f ca="1">_xludf.CONCAT(D17,D18)</f>
        <v>#NAME?</v>
      </c>
    </row>
    <row r="18" spans="2:6">
      <c r="D18" s="134" t="s">
        <v>1067</v>
      </c>
    </row>
    <row r="21" spans="2:6">
      <c r="B21" s="135" t="s">
        <v>1054</v>
      </c>
      <c r="C21" s="135" t="s">
        <v>2</v>
      </c>
      <c r="D21" s="135" t="s">
        <v>519</v>
      </c>
      <c r="E21" s="135" t="s">
        <v>4</v>
      </c>
      <c r="F21" s="135" t="s">
        <v>5</v>
      </c>
    </row>
    <row r="23" spans="2:6">
      <c r="B23" s="1">
        <v>1</v>
      </c>
      <c r="C23" s="1" t="s">
        <v>68</v>
      </c>
      <c r="D23" s="1" t="s">
        <v>964</v>
      </c>
      <c r="E23" s="1" t="s">
        <v>1068</v>
      </c>
      <c r="F23" s="6">
        <f>LEN("pen")</f>
        <v>3</v>
      </c>
    </row>
    <row r="25" spans="2:6">
      <c r="B25" s="1">
        <v>2</v>
      </c>
      <c r="C25" s="1" t="s">
        <v>68</v>
      </c>
      <c r="D25" s="1" t="s">
        <v>895</v>
      </c>
      <c r="E25" s="1" t="s">
        <v>1069</v>
      </c>
      <c r="F25" s="6">
        <f>LEN("book")</f>
        <v>4</v>
      </c>
    </row>
    <row r="27" spans="2:6">
      <c r="B27" s="1">
        <v>3</v>
      </c>
      <c r="C27" s="1" t="s">
        <v>68</v>
      </c>
      <c r="D27" s="1" t="s">
        <v>18</v>
      </c>
      <c r="E27" s="1" t="s">
        <v>1070</v>
      </c>
      <c r="F27" s="6">
        <f>LEN("Sun")</f>
        <v>3</v>
      </c>
    </row>
    <row r="29" spans="2:6">
      <c r="B29" s="1">
        <v>4</v>
      </c>
      <c r="C29" s="1" t="s">
        <v>68</v>
      </c>
      <c r="D29" s="1" t="s">
        <v>1071</v>
      </c>
      <c r="E29" s="1" t="s">
        <v>1072</v>
      </c>
      <c r="F29" s="6">
        <f>LEN("Moon")</f>
        <v>4</v>
      </c>
    </row>
    <row r="31" spans="2:6">
      <c r="B31" s="1">
        <v>5</v>
      </c>
      <c r="C31" s="1" t="s">
        <v>68</v>
      </c>
      <c r="D31" s="1" t="s">
        <v>788</v>
      </c>
      <c r="E31" s="1" t="s">
        <v>1073</v>
      </c>
      <c r="F31" s="6">
        <f>LEN("Star")</f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C3:P85"/>
  <sheetViews>
    <sheetView workbookViewId="0"/>
  </sheetViews>
  <sheetFormatPr defaultColWidth="12.6640625" defaultRowHeight="15.75" customHeight="1"/>
  <cols>
    <col min="4" max="4" width="14.77734375" customWidth="1"/>
    <col min="5" max="5" width="14.109375" customWidth="1"/>
    <col min="7" max="7" width="19.44140625" customWidth="1"/>
    <col min="8" max="8" width="15.21875" customWidth="1"/>
  </cols>
  <sheetData>
    <row r="3" spans="3:16">
      <c r="C3" s="136" t="s">
        <v>1074</v>
      </c>
      <c r="D3" s="1" t="s">
        <v>2</v>
      </c>
      <c r="E3" s="1" t="s">
        <v>519</v>
      </c>
      <c r="G3" s="1" t="s">
        <v>4</v>
      </c>
      <c r="H3" s="1" t="s">
        <v>5</v>
      </c>
    </row>
    <row r="4" spans="3:16">
      <c r="C4" s="1">
        <v>1</v>
      </c>
    </row>
    <row r="5" spans="3:16">
      <c r="D5" s="1" t="s">
        <v>151</v>
      </c>
      <c r="E5" s="1" t="s">
        <v>1075</v>
      </c>
      <c r="G5" s="1" t="s">
        <v>1076</v>
      </c>
      <c r="H5" s="6" t="e">
        <f ca="1">_xludf.CONCAT(E$5,E$6)</f>
        <v>#NAME?</v>
      </c>
    </row>
    <row r="6" spans="3:16">
      <c r="E6" s="1" t="s">
        <v>1077</v>
      </c>
      <c r="K6" s="137"/>
      <c r="L6" s="1"/>
      <c r="M6" s="1"/>
      <c r="O6" s="1"/>
      <c r="P6" s="1"/>
    </row>
    <row r="8" spans="3:16">
      <c r="D8" s="1" t="s">
        <v>151</v>
      </c>
      <c r="E8" s="1" t="s">
        <v>549</v>
      </c>
      <c r="G8" s="1" t="s">
        <v>1078</v>
      </c>
      <c r="H8" s="6" t="e">
        <f ca="1">_xludf.CONCAT(E8,E9)</f>
        <v>#NAME?</v>
      </c>
    </row>
    <row r="9" spans="3:16">
      <c r="E9" s="1" t="s">
        <v>1079</v>
      </c>
    </row>
    <row r="11" spans="3:16">
      <c r="D11" s="1" t="s">
        <v>151</v>
      </c>
      <c r="E11" s="1" t="s">
        <v>1077</v>
      </c>
      <c r="G11" s="1" t="s">
        <v>1080</v>
      </c>
      <c r="H11" s="6" t="e">
        <f ca="1">_xludf.CONCAT(E$11,E$12)</f>
        <v>#NAME?</v>
      </c>
    </row>
    <row r="12" spans="3:16">
      <c r="E12" s="1" t="s">
        <v>1081</v>
      </c>
    </row>
    <row r="14" spans="3:16">
      <c r="D14" s="1" t="s">
        <v>151</v>
      </c>
      <c r="E14" s="1" t="s">
        <v>1082</v>
      </c>
      <c r="G14" s="1" t="s">
        <v>1083</v>
      </c>
      <c r="H14" s="6" t="e">
        <f ca="1">_xludf.CONCAT(E$14,E$15)</f>
        <v>#NAME?</v>
      </c>
    </row>
    <row r="15" spans="3:16">
      <c r="E15" s="1" t="s">
        <v>1084</v>
      </c>
    </row>
    <row r="17" spans="3:8">
      <c r="D17" s="1" t="s">
        <v>151</v>
      </c>
      <c r="E17" s="1" t="s">
        <v>1085</v>
      </c>
      <c r="G17" s="1" t="s">
        <v>1086</v>
      </c>
      <c r="H17" s="6" t="e">
        <f ca="1">_xludf.CONCAT(E$17,E$18)</f>
        <v>#NAME?</v>
      </c>
    </row>
    <row r="18" spans="3:8">
      <c r="E18" s="1" t="s">
        <v>1087</v>
      </c>
    </row>
    <row r="21" spans="3:8">
      <c r="C21" s="1">
        <v>2</v>
      </c>
      <c r="D21" s="1" t="s">
        <v>6</v>
      </c>
      <c r="E21" s="1" t="s">
        <v>1088</v>
      </c>
      <c r="F21" s="1" t="s">
        <v>1089</v>
      </c>
      <c r="G21" s="1" t="s">
        <v>1090</v>
      </c>
      <c r="H21" s="6" t="str">
        <f t="shared" ref="H21:H25" si="0">CLEAN(E21)</f>
        <v>Work</v>
      </c>
    </row>
    <row r="22" spans="3:8">
      <c r="D22" s="1" t="s">
        <v>6</v>
      </c>
      <c r="E22" s="1" t="s">
        <v>1091</v>
      </c>
      <c r="F22" s="1" t="s">
        <v>1089</v>
      </c>
      <c r="G22" s="1" t="s">
        <v>1092</v>
      </c>
      <c r="H22" s="6" t="str">
        <f t="shared" si="0"/>
        <v>Sum</v>
      </c>
    </row>
    <row r="23" spans="3:8">
      <c r="D23" s="1" t="s">
        <v>6</v>
      </c>
      <c r="E23" s="1" t="s">
        <v>1093</v>
      </c>
      <c r="F23" s="1" t="s">
        <v>1089</v>
      </c>
      <c r="G23" s="1" t="s">
        <v>1094</v>
      </c>
      <c r="H23" s="6" t="str">
        <f t="shared" si="0"/>
        <v>Family</v>
      </c>
    </row>
    <row r="24" spans="3:8">
      <c r="D24" s="1" t="s">
        <v>6</v>
      </c>
      <c r="E24" s="1" t="s">
        <v>377</v>
      </c>
      <c r="F24" s="1" t="s">
        <v>1089</v>
      </c>
      <c r="G24" s="1" t="s">
        <v>1095</v>
      </c>
      <c r="H24" s="6" t="str">
        <f t="shared" si="0"/>
        <v>College</v>
      </c>
    </row>
    <row r="25" spans="3:8">
      <c r="D25" s="1" t="s">
        <v>6</v>
      </c>
      <c r="E25" s="1" t="s">
        <v>1096</v>
      </c>
      <c r="F25" s="1" t="s">
        <v>1089</v>
      </c>
      <c r="G25" s="1" t="s">
        <v>1097</v>
      </c>
      <c r="H25" s="6" t="str">
        <f t="shared" si="0"/>
        <v>value</v>
      </c>
    </row>
    <row r="28" spans="3:8">
      <c r="C28" s="1">
        <v>3</v>
      </c>
      <c r="D28" s="1" t="s">
        <v>1098</v>
      </c>
      <c r="E28" s="1" t="s">
        <v>549</v>
      </c>
      <c r="F28" s="1" t="s">
        <v>1089</v>
      </c>
      <c r="G28" s="1" t="s">
        <v>1099</v>
      </c>
      <c r="H28" s="6" t="b">
        <f>EXACT(E28,E29)</f>
        <v>0</v>
      </c>
    </row>
    <row r="29" spans="3:8">
      <c r="E29" s="1" t="s">
        <v>559</v>
      </c>
    </row>
    <row r="30" spans="3:8">
      <c r="D30" s="1" t="s">
        <v>1098</v>
      </c>
      <c r="E30" s="1" t="s">
        <v>1100</v>
      </c>
      <c r="F30" s="1" t="s">
        <v>1089</v>
      </c>
      <c r="G30" s="1" t="s">
        <v>1101</v>
      </c>
      <c r="H30" s="6" t="b">
        <f>EXACT(E30,E31)</f>
        <v>0</v>
      </c>
    </row>
    <row r="31" spans="3:8">
      <c r="E31" s="1" t="s">
        <v>1102</v>
      </c>
    </row>
    <row r="32" spans="3:8">
      <c r="D32" s="1" t="s">
        <v>1098</v>
      </c>
      <c r="E32" s="1" t="s">
        <v>1103</v>
      </c>
      <c r="F32" s="1" t="s">
        <v>1089</v>
      </c>
      <c r="G32" s="1" t="s">
        <v>1104</v>
      </c>
      <c r="H32" s="6" t="b">
        <f>EXACT(E32,E33)</f>
        <v>0</v>
      </c>
    </row>
    <row r="33" spans="3:8">
      <c r="E33" s="1" t="s">
        <v>976</v>
      </c>
    </row>
    <row r="34" spans="3:8">
      <c r="D34" s="1" t="s">
        <v>1098</v>
      </c>
      <c r="E34" s="1" t="s">
        <v>1105</v>
      </c>
      <c r="F34" s="1" t="s">
        <v>1089</v>
      </c>
      <c r="G34" s="1" t="s">
        <v>1106</v>
      </c>
      <c r="H34" s="6" t="b">
        <f>EXACT(E34,E35)</f>
        <v>0</v>
      </c>
    </row>
    <row r="35" spans="3:8">
      <c r="E35" s="1" t="s">
        <v>1107</v>
      </c>
    </row>
    <row r="36" spans="3:8">
      <c r="D36" s="1" t="s">
        <v>1098</v>
      </c>
      <c r="E36" s="1" t="s">
        <v>1108</v>
      </c>
      <c r="F36" s="1" t="s">
        <v>1089</v>
      </c>
      <c r="G36" s="1" t="s">
        <v>1109</v>
      </c>
      <c r="H36" s="6" t="b">
        <f>EXACT(E36,E37)</f>
        <v>0</v>
      </c>
    </row>
    <row r="37" spans="3:8">
      <c r="E37" s="1" t="s">
        <v>1110</v>
      </c>
    </row>
    <row r="39" spans="3:8">
      <c r="C39" s="1">
        <v>4</v>
      </c>
      <c r="D39" s="1" t="s">
        <v>33</v>
      </c>
      <c r="E39" s="1" t="s">
        <v>371</v>
      </c>
      <c r="F39" s="1" t="s">
        <v>1089</v>
      </c>
      <c r="G39" s="1" t="s">
        <v>1111</v>
      </c>
      <c r="H39" s="6">
        <f>FIND("d",E39,3)</f>
        <v>4</v>
      </c>
    </row>
    <row r="40" spans="3:8">
      <c r="D40" s="1" t="s">
        <v>33</v>
      </c>
      <c r="E40" s="1" t="s">
        <v>371</v>
      </c>
      <c r="F40" s="1" t="s">
        <v>1089</v>
      </c>
      <c r="G40" s="1" t="s">
        <v>1112</v>
      </c>
      <c r="H40" s="6">
        <f>FIND("u",E40,3)</f>
        <v>3</v>
      </c>
    </row>
    <row r="41" spans="3:8">
      <c r="D41" s="1" t="s">
        <v>33</v>
      </c>
      <c r="E41" s="1" t="s">
        <v>371</v>
      </c>
      <c r="F41" s="1" t="s">
        <v>1089</v>
      </c>
      <c r="G41" s="1" t="s">
        <v>1113</v>
      </c>
      <c r="H41" s="6">
        <f>FIND("d",E41,1)</f>
        <v>4</v>
      </c>
    </row>
    <row r="42" spans="3:8">
      <c r="D42" s="1" t="s">
        <v>33</v>
      </c>
      <c r="E42" s="1" t="s">
        <v>371</v>
      </c>
      <c r="F42" s="1" t="s">
        <v>1089</v>
      </c>
      <c r="G42" s="1" t="s">
        <v>1114</v>
      </c>
      <c r="H42" s="6">
        <f>FIND("t",E42,5)</f>
        <v>7</v>
      </c>
    </row>
    <row r="43" spans="3:8">
      <c r="D43" s="1" t="s">
        <v>33</v>
      </c>
      <c r="E43" s="1" t="s">
        <v>371</v>
      </c>
      <c r="F43" s="1" t="s">
        <v>1089</v>
      </c>
      <c r="G43" s="1" t="s">
        <v>1115</v>
      </c>
      <c r="H43" s="6">
        <f>FIND("e",E43,2)</f>
        <v>5</v>
      </c>
    </row>
    <row r="45" spans="3:8">
      <c r="C45" s="1">
        <v>5</v>
      </c>
      <c r="D45" s="1" t="s">
        <v>57</v>
      </c>
      <c r="E45" s="1" t="s">
        <v>1075</v>
      </c>
      <c r="G45" s="1" t="s">
        <v>1116</v>
      </c>
      <c r="H45" s="6" t="s">
        <v>1117</v>
      </c>
    </row>
    <row r="46" spans="3:8">
      <c r="D46" s="1" t="s">
        <v>57</v>
      </c>
      <c r="E46" s="1" t="s">
        <v>1118</v>
      </c>
      <c r="G46" s="1" t="s">
        <v>1119</v>
      </c>
      <c r="H46" s="6" t="s">
        <v>1120</v>
      </c>
    </row>
    <row r="47" spans="3:8">
      <c r="D47" s="1" t="s">
        <v>57</v>
      </c>
      <c r="E47" s="1" t="s">
        <v>976</v>
      </c>
      <c r="G47" s="1" t="s">
        <v>1121</v>
      </c>
      <c r="H47" s="6" t="s">
        <v>1122</v>
      </c>
    </row>
    <row r="48" spans="3:8">
      <c r="D48" s="1" t="s">
        <v>57</v>
      </c>
      <c r="E48" s="1" t="s">
        <v>1102</v>
      </c>
      <c r="G48" s="1" t="s">
        <v>1123</v>
      </c>
      <c r="H48" s="6" t="s">
        <v>1124</v>
      </c>
    </row>
    <row r="49" spans="3:8">
      <c r="D49" s="1" t="s">
        <v>57</v>
      </c>
      <c r="E49" s="1" t="s">
        <v>4</v>
      </c>
      <c r="G49" s="1" t="s">
        <v>1125</v>
      </c>
      <c r="H49" s="6" t="s">
        <v>1126</v>
      </c>
    </row>
    <row r="51" spans="3:8">
      <c r="C51" s="1">
        <v>6</v>
      </c>
      <c r="D51" s="1" t="s">
        <v>123</v>
      </c>
      <c r="E51" s="1" t="s">
        <v>1075</v>
      </c>
      <c r="G51" s="1" t="s">
        <v>1127</v>
      </c>
      <c r="H51" s="6" t="s">
        <v>1128</v>
      </c>
    </row>
    <row r="52" spans="3:8">
      <c r="D52" s="1" t="s">
        <v>123</v>
      </c>
      <c r="E52" s="1" t="s">
        <v>1118</v>
      </c>
      <c r="G52" s="1" t="s">
        <v>1129</v>
      </c>
      <c r="H52" s="6" t="s">
        <v>1130</v>
      </c>
    </row>
    <row r="53" spans="3:8">
      <c r="D53" s="1" t="s">
        <v>123</v>
      </c>
      <c r="E53" s="1" t="s">
        <v>976</v>
      </c>
      <c r="G53" s="1" t="s">
        <v>1131</v>
      </c>
      <c r="H53" s="6" t="s">
        <v>1132</v>
      </c>
    </row>
    <row r="54" spans="3:8">
      <c r="D54" s="1" t="s">
        <v>123</v>
      </c>
      <c r="E54" s="1" t="s">
        <v>1102</v>
      </c>
      <c r="G54" s="1" t="s">
        <v>1133</v>
      </c>
      <c r="H54" s="6" t="s">
        <v>1134</v>
      </c>
    </row>
    <row r="55" spans="3:8">
      <c r="D55" s="1" t="s">
        <v>123</v>
      </c>
      <c r="E55" s="1" t="s">
        <v>4</v>
      </c>
      <c r="G55" s="1" t="s">
        <v>1135</v>
      </c>
      <c r="H55" s="6" t="s">
        <v>1136</v>
      </c>
    </row>
    <row r="57" spans="3:8">
      <c r="C57" s="1">
        <v>8</v>
      </c>
      <c r="D57" s="1" t="s">
        <v>90</v>
      </c>
      <c r="E57" s="1" t="s">
        <v>1075</v>
      </c>
      <c r="G57" s="1" t="s">
        <v>1137</v>
      </c>
      <c r="H57" s="6" t="str">
        <f t="shared" ref="H57:H61" si="1">MID(E57,2,6)</f>
        <v>andesh</v>
      </c>
    </row>
    <row r="58" spans="3:8">
      <c r="D58" s="1" t="s">
        <v>90</v>
      </c>
      <c r="E58" s="1" t="s">
        <v>1118</v>
      </c>
      <c r="G58" s="1" t="s">
        <v>1138</v>
      </c>
      <c r="H58" s="6" t="str">
        <f t="shared" si="1"/>
        <v>ower</v>
      </c>
    </row>
    <row r="59" spans="3:8">
      <c r="D59" s="1" t="s">
        <v>90</v>
      </c>
      <c r="E59" s="1" t="s">
        <v>976</v>
      </c>
      <c r="G59" s="1" t="s">
        <v>1139</v>
      </c>
      <c r="H59" s="6" t="str">
        <f t="shared" si="1"/>
        <v>oteboo</v>
      </c>
    </row>
    <row r="60" spans="3:8">
      <c r="D60" s="1" t="s">
        <v>90</v>
      </c>
      <c r="E60" s="1" t="s">
        <v>1102</v>
      </c>
      <c r="G60" s="1" t="s">
        <v>1140</v>
      </c>
      <c r="H60" s="6" t="str">
        <f t="shared" si="1"/>
        <v>ormat</v>
      </c>
    </row>
    <row r="61" spans="3:8">
      <c r="D61" s="1" t="s">
        <v>90</v>
      </c>
      <c r="E61" s="1" t="s">
        <v>4</v>
      </c>
      <c r="G61" s="1" t="s">
        <v>1141</v>
      </c>
      <c r="H61" s="6" t="str">
        <f t="shared" si="1"/>
        <v>ormula</v>
      </c>
    </row>
    <row r="63" spans="3:8">
      <c r="C63" s="1">
        <v>9</v>
      </c>
      <c r="D63" s="1" t="s">
        <v>79</v>
      </c>
      <c r="E63" s="1" t="s">
        <v>1075</v>
      </c>
      <c r="G63" s="1" t="s">
        <v>1142</v>
      </c>
      <c r="H63" s="6" t="str">
        <f t="shared" ref="H63:H67" si="2">LOWER(E63)</f>
        <v>sandesh</v>
      </c>
    </row>
    <row r="64" spans="3:8">
      <c r="D64" s="1" t="s">
        <v>79</v>
      </c>
      <c r="E64" s="1" t="s">
        <v>1118</v>
      </c>
      <c r="G64" s="1" t="s">
        <v>1143</v>
      </c>
      <c r="H64" s="6" t="str">
        <f t="shared" si="2"/>
        <v>power</v>
      </c>
    </row>
    <row r="65" spans="3:8">
      <c r="D65" s="1" t="s">
        <v>79</v>
      </c>
      <c r="E65" s="1" t="s">
        <v>976</v>
      </c>
      <c r="G65" s="1" t="s">
        <v>1144</v>
      </c>
      <c r="H65" s="6" t="str">
        <f t="shared" si="2"/>
        <v>notebook</v>
      </c>
    </row>
    <row r="66" spans="3:8">
      <c r="D66" s="1" t="s">
        <v>79</v>
      </c>
      <c r="E66" s="1" t="s">
        <v>1102</v>
      </c>
      <c r="G66" s="1" t="s">
        <v>1145</v>
      </c>
      <c r="H66" s="6" t="str">
        <f t="shared" si="2"/>
        <v>format</v>
      </c>
    </row>
    <row r="67" spans="3:8">
      <c r="D67" s="1" t="s">
        <v>79</v>
      </c>
      <c r="E67" s="1" t="s">
        <v>4</v>
      </c>
      <c r="G67" s="1" t="s">
        <v>1146</v>
      </c>
      <c r="H67" s="6" t="str">
        <f t="shared" si="2"/>
        <v>formula</v>
      </c>
    </row>
    <row r="69" spans="3:8">
      <c r="C69" s="1">
        <v>10</v>
      </c>
      <c r="D69" s="1" t="s">
        <v>134</v>
      </c>
      <c r="E69" s="1" t="s">
        <v>1075</v>
      </c>
      <c r="G69" s="1" t="s">
        <v>504</v>
      </c>
      <c r="H69" s="6" t="str">
        <f t="shared" ref="H69:H73" si="3">UPPER(E69)</f>
        <v>SANDESH</v>
      </c>
    </row>
    <row r="70" spans="3:8">
      <c r="D70" s="1" t="s">
        <v>134</v>
      </c>
      <c r="E70" s="1" t="s">
        <v>1118</v>
      </c>
      <c r="G70" s="1" t="s">
        <v>505</v>
      </c>
      <c r="H70" s="6" t="str">
        <f t="shared" si="3"/>
        <v>POWER</v>
      </c>
    </row>
    <row r="71" spans="3:8">
      <c r="D71" s="1" t="s">
        <v>134</v>
      </c>
      <c r="E71" s="1" t="s">
        <v>976</v>
      </c>
      <c r="G71" s="1" t="s">
        <v>506</v>
      </c>
      <c r="H71" s="6" t="str">
        <f t="shared" si="3"/>
        <v>NOTEBOOK</v>
      </c>
    </row>
    <row r="72" spans="3:8">
      <c r="D72" s="1" t="s">
        <v>134</v>
      </c>
      <c r="E72" s="1" t="s">
        <v>1102</v>
      </c>
      <c r="G72" s="1" t="s">
        <v>507</v>
      </c>
      <c r="H72" s="6" t="str">
        <f t="shared" si="3"/>
        <v>FORMAT</v>
      </c>
    </row>
    <row r="73" spans="3:8">
      <c r="D73" s="1" t="s">
        <v>134</v>
      </c>
      <c r="E73" s="1" t="s">
        <v>4</v>
      </c>
      <c r="G73" s="1" t="s">
        <v>508</v>
      </c>
      <c r="H73" s="6" t="str">
        <f t="shared" si="3"/>
        <v>FORMULA</v>
      </c>
    </row>
    <row r="75" spans="3:8">
      <c r="C75" s="1">
        <v>11</v>
      </c>
      <c r="D75" s="1" t="s">
        <v>112</v>
      </c>
      <c r="E75" s="1" t="s">
        <v>1075</v>
      </c>
      <c r="G75" s="1" t="s">
        <v>1147</v>
      </c>
      <c r="H75" s="6" t="str">
        <f t="shared" ref="H75:H79" si="4">REPLACE(E75,3,5,"E")</f>
        <v>SaE</v>
      </c>
    </row>
    <row r="76" spans="3:8">
      <c r="D76" s="1" t="s">
        <v>112</v>
      </c>
      <c r="E76" s="1" t="s">
        <v>1118</v>
      </c>
      <c r="G76" s="1" t="s">
        <v>1148</v>
      </c>
      <c r="H76" s="6" t="str">
        <f t="shared" si="4"/>
        <v>PoE</v>
      </c>
    </row>
    <row r="77" spans="3:8">
      <c r="D77" s="1" t="s">
        <v>112</v>
      </c>
      <c r="E77" s="1" t="s">
        <v>976</v>
      </c>
      <c r="G77" s="1" t="s">
        <v>1149</v>
      </c>
      <c r="H77" s="6" t="str">
        <f t="shared" si="4"/>
        <v>NoEk</v>
      </c>
    </row>
    <row r="78" spans="3:8">
      <c r="D78" s="1" t="s">
        <v>112</v>
      </c>
      <c r="E78" s="1" t="s">
        <v>1102</v>
      </c>
      <c r="G78" s="1" t="s">
        <v>1150</v>
      </c>
      <c r="H78" s="6" t="str">
        <f t="shared" si="4"/>
        <v>FoE</v>
      </c>
    </row>
    <row r="79" spans="3:8">
      <c r="D79" s="1" t="s">
        <v>112</v>
      </c>
      <c r="E79" s="1" t="s">
        <v>4</v>
      </c>
      <c r="G79" s="1" t="s">
        <v>1151</v>
      </c>
      <c r="H79" s="6" t="str">
        <f t="shared" si="4"/>
        <v>FoE</v>
      </c>
    </row>
    <row r="81" spans="3:8">
      <c r="C81" s="1">
        <v>12</v>
      </c>
      <c r="D81" s="1" t="s">
        <v>101</v>
      </c>
      <c r="E81" s="1" t="s">
        <v>102</v>
      </c>
      <c r="G81" s="1" t="s">
        <v>1152</v>
      </c>
      <c r="H81" s="6" t="str">
        <f t="shared" ref="H81:H85" si="5">PROPER(E81)</f>
        <v>Lewis Hamilton</v>
      </c>
    </row>
    <row r="82" spans="3:8">
      <c r="D82" s="1" t="s">
        <v>101</v>
      </c>
      <c r="E82" s="1" t="s">
        <v>104</v>
      </c>
      <c r="G82" s="1" t="s">
        <v>1153</v>
      </c>
      <c r="H82" s="6" t="str">
        <f t="shared" si="5"/>
        <v>British</v>
      </c>
    </row>
    <row r="83" spans="3:8">
      <c r="D83" s="1" t="s">
        <v>101</v>
      </c>
      <c r="E83" s="1" t="s">
        <v>1154</v>
      </c>
      <c r="G83" s="1" t="s">
        <v>1155</v>
      </c>
      <c r="H83" s="6" t="str">
        <f t="shared" si="5"/>
        <v>Willams17</v>
      </c>
    </row>
    <row r="84" spans="3:8">
      <c r="D84" s="1" t="s">
        <v>101</v>
      </c>
      <c r="E84" s="1" t="s">
        <v>108</v>
      </c>
      <c r="G84" s="1" t="s">
        <v>1156</v>
      </c>
      <c r="H84" s="6" t="str">
        <f t="shared" si="5"/>
        <v>Hocking</v>
      </c>
    </row>
    <row r="85" spans="3:8">
      <c r="D85" s="1" t="s">
        <v>101</v>
      </c>
      <c r="E85" s="1" t="s">
        <v>110</v>
      </c>
      <c r="G85" s="1" t="s">
        <v>1157</v>
      </c>
      <c r="H85" s="6" t="str">
        <f t="shared" si="5"/>
        <v>Paris</v>
      </c>
    </row>
  </sheetData>
  <hyperlinks>
    <hyperlink ref="C3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B1:F985"/>
  <sheetViews>
    <sheetView workbookViewId="0"/>
  </sheetViews>
  <sheetFormatPr defaultColWidth="12.6640625" defaultRowHeight="15.75" customHeight="1"/>
  <cols>
    <col min="3" max="3" width="13.44140625" customWidth="1"/>
    <col min="5" max="5" width="33.77734375" customWidth="1"/>
    <col min="6" max="6" width="15.33203125" customWidth="1"/>
  </cols>
  <sheetData>
    <row r="1" spans="2:6">
      <c r="B1" s="14"/>
      <c r="D1" s="14"/>
    </row>
    <row r="2" spans="2:6">
      <c r="B2" s="14"/>
      <c r="D2" s="14"/>
    </row>
    <row r="3" spans="2:6" ht="15.75" customHeight="1">
      <c r="B3" s="138" t="s">
        <v>1</v>
      </c>
      <c r="C3" s="139" t="s">
        <v>2</v>
      </c>
      <c r="D3" s="140" t="s">
        <v>519</v>
      </c>
      <c r="E3" s="140" t="s">
        <v>4</v>
      </c>
      <c r="F3" s="141" t="s">
        <v>5</v>
      </c>
    </row>
    <row r="4" spans="2:6">
      <c r="B4" s="292">
        <v>1</v>
      </c>
      <c r="C4" s="292" t="s">
        <v>1158</v>
      </c>
      <c r="D4" s="142"/>
      <c r="E4" s="143" t="s">
        <v>1159</v>
      </c>
      <c r="F4" s="144" t="str">
        <f>CONCATENATE(D$9, CHAR(10)," - ",D$10)</f>
        <v>Work
 - Book</v>
      </c>
    </row>
    <row r="5" spans="2:6">
      <c r="B5" s="293"/>
      <c r="C5" s="293"/>
      <c r="D5" s="145"/>
      <c r="E5" s="51" t="s">
        <v>1160</v>
      </c>
      <c r="F5" s="146" t="str">
        <f>CONCATENATE(D$13,CHAR(10)," - ",D$12)</f>
        <v>Asmit
 - Arc</v>
      </c>
    </row>
    <row r="6" spans="2:6">
      <c r="B6" s="293"/>
      <c r="C6" s="293"/>
      <c r="D6" s="145"/>
      <c r="E6" s="51" t="s">
        <v>1161</v>
      </c>
      <c r="F6" s="146" t="str">
        <f>CONCATENATE(D$15,CHAR(10)," - ",D$16)</f>
        <v>Sun
 - glasses</v>
      </c>
    </row>
    <row r="7" spans="2:6">
      <c r="B7" s="293"/>
      <c r="C7" s="293"/>
      <c r="D7" s="145"/>
      <c r="E7" s="51" t="s">
        <v>1162</v>
      </c>
      <c r="F7" s="146" t="str">
        <f>CONCATENATE(D$18,CHAR(10)," -",D$19)</f>
        <v>Back
 -Stage</v>
      </c>
    </row>
    <row r="8" spans="2:6">
      <c r="B8" s="294"/>
      <c r="C8" s="294"/>
      <c r="D8" s="147"/>
      <c r="E8" s="148" t="s">
        <v>1163</v>
      </c>
      <c r="F8" s="149" t="str">
        <f>CONCATENATE(D21,CHAR(10)," - ",D22)</f>
        <v>Dead
 - line</v>
      </c>
    </row>
    <row r="9" spans="2:6">
      <c r="B9" s="295">
        <v>2</v>
      </c>
      <c r="C9" s="295" t="s">
        <v>1164</v>
      </c>
      <c r="D9" s="142" t="s">
        <v>1088</v>
      </c>
      <c r="E9" s="143" t="s">
        <v>1165</v>
      </c>
      <c r="F9" s="144" t="str">
        <f>CONCATENATE(D$9," - ",D$10)</f>
        <v>Work - Book</v>
      </c>
    </row>
    <row r="10" spans="2:6">
      <c r="B10" s="293"/>
      <c r="C10" s="293"/>
      <c r="D10" s="150" t="s">
        <v>895</v>
      </c>
      <c r="E10" s="50"/>
      <c r="F10" s="146"/>
    </row>
    <row r="11" spans="2:6">
      <c r="B11" s="293"/>
      <c r="C11" s="293"/>
      <c r="D11" s="145"/>
      <c r="E11" s="50"/>
      <c r="F11" s="146"/>
    </row>
    <row r="12" spans="2:6">
      <c r="B12" s="293"/>
      <c r="C12" s="293"/>
      <c r="D12" s="150" t="s">
        <v>1077</v>
      </c>
      <c r="E12" s="51" t="s">
        <v>1166</v>
      </c>
      <c r="F12" s="146" t="str">
        <f>CONCATENATE(D$13," - ",D$12)</f>
        <v>Asmit - Arc</v>
      </c>
    </row>
    <row r="13" spans="2:6">
      <c r="B13" s="293"/>
      <c r="C13" s="293"/>
      <c r="D13" s="150" t="s">
        <v>1167</v>
      </c>
      <c r="E13" s="50"/>
      <c r="F13" s="146"/>
    </row>
    <row r="14" spans="2:6">
      <c r="B14" s="293"/>
      <c r="C14" s="293"/>
      <c r="D14" s="145"/>
      <c r="E14" s="50"/>
      <c r="F14" s="146"/>
    </row>
    <row r="15" spans="2:6">
      <c r="B15" s="293"/>
      <c r="C15" s="293"/>
      <c r="D15" s="150" t="s">
        <v>18</v>
      </c>
      <c r="E15" s="51" t="s">
        <v>1168</v>
      </c>
      <c r="F15" s="146" t="str">
        <f>CONCATENATE(D$15," - ",D$16)</f>
        <v>Sun - glasses</v>
      </c>
    </row>
    <row r="16" spans="2:6">
      <c r="B16" s="293"/>
      <c r="C16" s="293"/>
      <c r="D16" s="150" t="s">
        <v>1169</v>
      </c>
      <c r="E16" s="50"/>
      <c r="F16" s="146"/>
    </row>
    <row r="17" spans="2:6">
      <c r="B17" s="293"/>
      <c r="C17" s="293"/>
      <c r="D17" s="145"/>
      <c r="E17" s="50"/>
      <c r="F17" s="146"/>
    </row>
    <row r="18" spans="2:6">
      <c r="B18" s="293"/>
      <c r="C18" s="293"/>
      <c r="D18" s="150" t="s">
        <v>1170</v>
      </c>
      <c r="E18" s="51" t="s">
        <v>1171</v>
      </c>
      <c r="F18" s="146" t="str">
        <f>CONCATENATE(D$18," -",D$19)</f>
        <v>Back -Stage</v>
      </c>
    </row>
    <row r="19" spans="2:6">
      <c r="B19" s="293"/>
      <c r="C19" s="293"/>
      <c r="D19" s="150" t="s">
        <v>1172</v>
      </c>
      <c r="E19" s="50"/>
      <c r="F19" s="146"/>
    </row>
    <row r="20" spans="2:6">
      <c r="B20" s="293"/>
      <c r="C20" s="293"/>
      <c r="D20" s="145"/>
      <c r="E20" s="50"/>
      <c r="F20" s="146"/>
    </row>
    <row r="21" spans="2:6">
      <c r="B21" s="293"/>
      <c r="C21" s="293"/>
      <c r="D21" s="150" t="s">
        <v>1173</v>
      </c>
      <c r="E21" s="51" t="s">
        <v>1174</v>
      </c>
      <c r="F21" s="146" t="str">
        <f>CONCATENATE(D21," - ",D22)</f>
        <v>Dead - line</v>
      </c>
    </row>
    <row r="22" spans="2:6">
      <c r="B22" s="293"/>
      <c r="C22" s="293"/>
      <c r="D22" s="150" t="s">
        <v>1175</v>
      </c>
      <c r="E22" s="50"/>
      <c r="F22" s="146"/>
    </row>
    <row r="23" spans="2:6">
      <c r="B23" s="294"/>
      <c r="C23" s="294"/>
      <c r="D23" s="147"/>
      <c r="E23" s="151"/>
      <c r="F23" s="149"/>
    </row>
    <row r="24" spans="2:6" ht="13.2">
      <c r="B24" s="295">
        <v>3</v>
      </c>
      <c r="C24" s="295" t="s">
        <v>1176</v>
      </c>
      <c r="D24" s="142" t="str">
        <f>CONCATENATE(D$9, CHAR(10)," - ",D$10)</f>
        <v>Work
 - Book</v>
      </c>
      <c r="E24" s="143" t="s">
        <v>1095</v>
      </c>
      <c r="F24" s="144" t="str">
        <f t="shared" ref="F24:F28" si="0">CLEAN(D24)</f>
        <v>Work - Book</v>
      </c>
    </row>
    <row r="25" spans="2:6" ht="13.2">
      <c r="B25" s="293"/>
      <c r="C25" s="293"/>
      <c r="D25" s="145" t="str">
        <f>CONCATENATE(D$13,CHAR(10)," - ",D$12)</f>
        <v>Asmit
 - Arc</v>
      </c>
      <c r="E25" s="51" t="s">
        <v>1177</v>
      </c>
      <c r="F25" s="146" t="str">
        <f t="shared" si="0"/>
        <v>Asmit - Arc</v>
      </c>
    </row>
    <row r="26" spans="2:6" ht="13.2">
      <c r="B26" s="293"/>
      <c r="C26" s="293"/>
      <c r="D26" s="145" t="str">
        <f>CONCATENATE(D$15,CHAR(10)," - ",D$16)</f>
        <v>Sun
 - glasses</v>
      </c>
      <c r="E26" s="51" t="s">
        <v>1178</v>
      </c>
      <c r="F26" s="146" t="str">
        <f t="shared" si="0"/>
        <v>Sun - glasses</v>
      </c>
    </row>
    <row r="27" spans="2:6" ht="13.2">
      <c r="B27" s="293"/>
      <c r="C27" s="293"/>
      <c r="D27" s="145" t="str">
        <f>CONCATENATE(D$18,CHAR(10)," -",D$19)</f>
        <v>Back
 -Stage</v>
      </c>
      <c r="E27" s="51" t="s">
        <v>1179</v>
      </c>
      <c r="F27" s="146" t="str">
        <f t="shared" si="0"/>
        <v>Back -Stage</v>
      </c>
    </row>
    <row r="28" spans="2:6" ht="13.2">
      <c r="B28" s="294"/>
      <c r="C28" s="294"/>
      <c r="D28" s="147" t="str">
        <f>CONCATENATE(D21,CHAR(10)," - ",D22)</f>
        <v>Dead
 - line</v>
      </c>
      <c r="E28" s="148" t="s">
        <v>1180</v>
      </c>
      <c r="F28" s="149" t="str">
        <f t="shared" si="0"/>
        <v>Dead - line</v>
      </c>
    </row>
    <row r="29" spans="2:6" ht="13.2">
      <c r="B29" s="295">
        <v>4</v>
      </c>
      <c r="C29" s="295" t="s">
        <v>1181</v>
      </c>
      <c r="D29" s="152"/>
      <c r="E29" s="143" t="s">
        <v>1182</v>
      </c>
      <c r="F29" s="144" t="b">
        <f>EXACT(F4,F9)</f>
        <v>0</v>
      </c>
    </row>
    <row r="30" spans="2:6" ht="13.2">
      <c r="B30" s="293"/>
      <c r="C30" s="293"/>
      <c r="D30" s="145"/>
      <c r="E30" s="51" t="s">
        <v>1183</v>
      </c>
      <c r="F30" s="146" t="b">
        <f>EXACT(F5,F12)</f>
        <v>0</v>
      </c>
    </row>
    <row r="31" spans="2:6" ht="13.2">
      <c r="B31" s="293"/>
      <c r="C31" s="293"/>
      <c r="D31" s="145"/>
      <c r="E31" s="51" t="s">
        <v>1184</v>
      </c>
      <c r="F31" s="146" t="b">
        <f>EXACT(F6,F15)</f>
        <v>0</v>
      </c>
    </row>
    <row r="32" spans="2:6" ht="13.2">
      <c r="B32" s="293"/>
      <c r="C32" s="293"/>
      <c r="D32" s="145"/>
      <c r="E32" s="51" t="s">
        <v>1185</v>
      </c>
      <c r="F32" s="146" t="b">
        <f>EXACT(F7,F18)</f>
        <v>0</v>
      </c>
    </row>
    <row r="33" spans="2:6" ht="13.2">
      <c r="B33" s="294"/>
      <c r="C33" s="294"/>
      <c r="D33" s="147"/>
      <c r="E33" s="148" t="s">
        <v>1186</v>
      </c>
      <c r="F33" s="149" t="b">
        <f>EXACT(F8,F21)</f>
        <v>0</v>
      </c>
    </row>
    <row r="34" spans="2:6" ht="13.2">
      <c r="B34" s="295">
        <v>5</v>
      </c>
      <c r="C34" s="295" t="s">
        <v>1187</v>
      </c>
      <c r="D34" s="142" t="s">
        <v>1188</v>
      </c>
      <c r="E34" s="143" t="s">
        <v>1189</v>
      </c>
      <c r="F34" s="144">
        <f>FIND("d",D34,1)</f>
        <v>3</v>
      </c>
    </row>
    <row r="35" spans="2:6" ht="13.2">
      <c r="B35" s="293"/>
      <c r="C35" s="293"/>
      <c r="D35" s="150" t="s">
        <v>1190</v>
      </c>
      <c r="E35" s="51" t="s">
        <v>1191</v>
      </c>
      <c r="F35" s="146">
        <f>FIND("B",D35,1)</f>
        <v>7</v>
      </c>
    </row>
    <row r="36" spans="2:6" ht="13.2">
      <c r="B36" s="293"/>
      <c r="C36" s="293"/>
      <c r="D36" s="150" t="s">
        <v>1192</v>
      </c>
      <c r="E36" s="51" t="s">
        <v>1193</v>
      </c>
      <c r="F36" s="146">
        <f>FIND("r",D36,1)</f>
        <v>6</v>
      </c>
    </row>
    <row r="37" spans="2:6" ht="13.2">
      <c r="B37" s="293"/>
      <c r="C37" s="293"/>
      <c r="D37" s="150" t="s">
        <v>1194</v>
      </c>
      <c r="E37" s="51" t="s">
        <v>1195</v>
      </c>
      <c r="F37" s="146">
        <f>FIND("e",D37,1)</f>
        <v>4</v>
      </c>
    </row>
    <row r="38" spans="2:6" ht="13.2">
      <c r="B38" s="293"/>
      <c r="C38" s="293"/>
      <c r="D38" s="150" t="s">
        <v>1196</v>
      </c>
      <c r="E38" s="51" t="s">
        <v>1197</v>
      </c>
      <c r="F38" s="146">
        <f>FIND("-",D38,1)</f>
        <v>7</v>
      </c>
    </row>
    <row r="39" spans="2:6" ht="13.2">
      <c r="B39" s="294"/>
      <c r="C39" s="294"/>
      <c r="D39" s="147"/>
      <c r="E39" s="151"/>
      <c r="F39" s="149"/>
    </row>
    <row r="40" spans="2:6" ht="13.2">
      <c r="B40" s="295">
        <v>6</v>
      </c>
      <c r="C40" s="295" t="s">
        <v>452</v>
      </c>
      <c r="D40" s="142" t="s">
        <v>1188</v>
      </c>
      <c r="E40" s="143" t="s">
        <v>1198</v>
      </c>
      <c r="F40" s="144" t="str">
        <f>LEFT(D40,3)</f>
        <v>Mid</v>
      </c>
    </row>
    <row r="41" spans="2:6" ht="13.2">
      <c r="B41" s="293"/>
      <c r="C41" s="293"/>
      <c r="D41" s="150" t="s">
        <v>1190</v>
      </c>
      <c r="E41" s="51" t="s">
        <v>1199</v>
      </c>
      <c r="F41" s="146" t="str">
        <f t="shared" ref="F41:F42" si="1">LEFT(D41,5)</f>
        <v>Happy</v>
      </c>
    </row>
    <row r="42" spans="2:6" ht="13.2">
      <c r="B42" s="293"/>
      <c r="C42" s="293"/>
      <c r="D42" s="150" t="s">
        <v>1192</v>
      </c>
      <c r="E42" s="51" t="s">
        <v>1200</v>
      </c>
      <c r="F42" s="146" t="str">
        <f t="shared" si="1"/>
        <v>Unifo</v>
      </c>
    </row>
    <row r="43" spans="2:6" ht="13.2">
      <c r="B43" s="293"/>
      <c r="C43" s="293"/>
      <c r="D43" s="150" t="s">
        <v>1194</v>
      </c>
      <c r="E43" s="51" t="s">
        <v>1201</v>
      </c>
      <c r="F43" s="146" t="str">
        <f>LEFT(D43,9)</f>
        <v>Spreadshe</v>
      </c>
    </row>
    <row r="44" spans="2:6" ht="13.2">
      <c r="B44" s="294"/>
      <c r="C44" s="294"/>
      <c r="D44" s="153" t="s">
        <v>1196</v>
      </c>
      <c r="E44" s="148" t="s">
        <v>1202</v>
      </c>
      <c r="F44" s="149" t="str">
        <f>LEFT(D44,11)</f>
        <v>Google-Shee</v>
      </c>
    </row>
    <row r="45" spans="2:6" ht="13.2">
      <c r="B45" s="295">
        <v>7</v>
      </c>
      <c r="C45" s="295" t="s">
        <v>454</v>
      </c>
      <c r="D45" s="142" t="s">
        <v>1188</v>
      </c>
      <c r="E45" s="143" t="s">
        <v>1203</v>
      </c>
      <c r="F45" s="144" t="str">
        <f>RIGHT(D45,6)</f>
        <v>school</v>
      </c>
    </row>
    <row r="46" spans="2:6" ht="13.2">
      <c r="B46" s="293"/>
      <c r="C46" s="293"/>
      <c r="D46" s="150" t="s">
        <v>1192</v>
      </c>
      <c r="E46" s="51" t="s">
        <v>1204</v>
      </c>
      <c r="F46" s="146" t="str">
        <f>RIGHT(D46,3)</f>
        <v>orm</v>
      </c>
    </row>
    <row r="47" spans="2:6" ht="13.2">
      <c r="B47" s="293"/>
      <c r="C47" s="293"/>
      <c r="D47" s="150" t="s">
        <v>1194</v>
      </c>
      <c r="E47" s="51" t="s">
        <v>1205</v>
      </c>
      <c r="F47" s="146" t="str">
        <f>RIGHT(D47,8)</f>
        <v>adsheets</v>
      </c>
    </row>
    <row r="48" spans="2:6" ht="13.2">
      <c r="B48" s="294"/>
      <c r="C48" s="294"/>
      <c r="D48" s="153" t="s">
        <v>1196</v>
      </c>
      <c r="E48" s="148" t="s">
        <v>1206</v>
      </c>
      <c r="F48" s="149" t="str">
        <f>RIGHT(D48,9)</f>
        <v>gle-Sheet</v>
      </c>
    </row>
    <row r="49" spans="2:6" ht="13.2">
      <c r="B49" s="295">
        <v>8</v>
      </c>
      <c r="C49" s="295" t="s">
        <v>1207</v>
      </c>
      <c r="D49" s="142" t="s">
        <v>1188</v>
      </c>
      <c r="E49" s="143" t="s">
        <v>1208</v>
      </c>
      <c r="F49" s="144" t="str">
        <f>MID(D49,3,5)</f>
        <v>dscho</v>
      </c>
    </row>
    <row r="50" spans="2:6" ht="13.2">
      <c r="B50" s="293"/>
      <c r="C50" s="293"/>
      <c r="D50" s="150" t="s">
        <v>1190</v>
      </c>
      <c r="E50" s="51" t="s">
        <v>1209</v>
      </c>
      <c r="F50" s="146" t="str">
        <f>MID(D50,5,2)</f>
        <v xml:space="preserve">y </v>
      </c>
    </row>
    <row r="51" spans="2:6" ht="13.2">
      <c r="B51" s="293"/>
      <c r="C51" s="293"/>
      <c r="D51" s="150" t="s">
        <v>1192</v>
      </c>
      <c r="E51" s="51" t="s">
        <v>1210</v>
      </c>
      <c r="F51" s="146" t="str">
        <f>MID(D51,3,5)</f>
        <v>iform</v>
      </c>
    </row>
    <row r="52" spans="2:6" ht="13.2">
      <c r="B52" s="293"/>
      <c r="C52" s="293"/>
      <c r="D52" s="150" t="s">
        <v>1194</v>
      </c>
      <c r="E52" s="51" t="s">
        <v>1211</v>
      </c>
      <c r="F52" s="146" t="str">
        <f>MID(D52,5,4)</f>
        <v>adsh</v>
      </c>
    </row>
    <row r="53" spans="2:6" ht="13.2">
      <c r="B53" s="294"/>
      <c r="C53" s="294"/>
      <c r="D53" s="153" t="s">
        <v>1196</v>
      </c>
      <c r="E53" s="148" t="s">
        <v>1212</v>
      </c>
      <c r="F53" s="149" t="str">
        <f>MID(D53,5,3)</f>
        <v>le-</v>
      </c>
    </row>
    <row r="54" spans="2:6" ht="13.2">
      <c r="B54" s="295">
        <v>9</v>
      </c>
      <c r="C54" s="295" t="s">
        <v>1213</v>
      </c>
      <c r="D54" s="142" t="s">
        <v>1188</v>
      </c>
      <c r="E54" s="143" t="s">
        <v>1214</v>
      </c>
      <c r="F54" s="144" t="str">
        <f t="shared" ref="F54:F58" si="2">LOWER(D54)</f>
        <v>midschool</v>
      </c>
    </row>
    <row r="55" spans="2:6" ht="13.2">
      <c r="B55" s="293"/>
      <c r="C55" s="293"/>
      <c r="D55" s="150" t="s">
        <v>1190</v>
      </c>
      <c r="E55" s="51" t="s">
        <v>1215</v>
      </c>
      <c r="F55" s="146" t="str">
        <f t="shared" si="2"/>
        <v>happy birthday</v>
      </c>
    </row>
    <row r="56" spans="2:6" ht="13.2">
      <c r="B56" s="293"/>
      <c r="C56" s="293"/>
      <c r="D56" s="150" t="s">
        <v>1192</v>
      </c>
      <c r="E56" s="51" t="s">
        <v>1216</v>
      </c>
      <c r="F56" s="146" t="str">
        <f t="shared" si="2"/>
        <v>uniform</v>
      </c>
    </row>
    <row r="57" spans="2:6" ht="13.2">
      <c r="B57" s="293"/>
      <c r="C57" s="293"/>
      <c r="D57" s="150" t="s">
        <v>1194</v>
      </c>
      <c r="E57" s="51" t="s">
        <v>1217</v>
      </c>
      <c r="F57" s="146" t="str">
        <f t="shared" si="2"/>
        <v>spreadsheets</v>
      </c>
    </row>
    <row r="58" spans="2:6" ht="13.2">
      <c r="B58" s="294"/>
      <c r="C58" s="294"/>
      <c r="D58" s="153" t="s">
        <v>1196</v>
      </c>
      <c r="E58" s="148" t="s">
        <v>1218</v>
      </c>
      <c r="F58" s="149" t="str">
        <f t="shared" si="2"/>
        <v>google-sheet</v>
      </c>
    </row>
    <row r="59" spans="2:6" ht="13.2">
      <c r="B59" s="295">
        <v>10</v>
      </c>
      <c r="C59" s="295" t="s">
        <v>1219</v>
      </c>
      <c r="D59" s="142" t="s">
        <v>1188</v>
      </c>
      <c r="E59" s="143" t="s">
        <v>1220</v>
      </c>
      <c r="F59" s="144" t="str">
        <f t="shared" ref="F59:F63" si="3">UPPER(D59)</f>
        <v>MIDSCHOOL</v>
      </c>
    </row>
    <row r="60" spans="2:6" ht="13.2">
      <c r="B60" s="293"/>
      <c r="C60" s="293"/>
      <c r="D60" s="150" t="s">
        <v>1190</v>
      </c>
      <c r="E60" s="51" t="s">
        <v>1221</v>
      </c>
      <c r="F60" s="146" t="str">
        <f t="shared" si="3"/>
        <v>HAPPY BIRTHDAY</v>
      </c>
    </row>
    <row r="61" spans="2:6" ht="13.2">
      <c r="B61" s="293"/>
      <c r="C61" s="293"/>
      <c r="D61" s="150" t="s">
        <v>1192</v>
      </c>
      <c r="E61" s="51" t="s">
        <v>1222</v>
      </c>
      <c r="F61" s="146" t="str">
        <f t="shared" si="3"/>
        <v>UNIFORM</v>
      </c>
    </row>
    <row r="62" spans="2:6" ht="13.2">
      <c r="B62" s="293"/>
      <c r="C62" s="293"/>
      <c r="D62" s="150" t="s">
        <v>1194</v>
      </c>
      <c r="E62" s="51" t="s">
        <v>1223</v>
      </c>
      <c r="F62" s="146" t="str">
        <f t="shared" si="3"/>
        <v>SPREADSHEETS</v>
      </c>
    </row>
    <row r="63" spans="2:6" ht="13.2">
      <c r="B63" s="294"/>
      <c r="C63" s="294"/>
      <c r="D63" s="153" t="s">
        <v>1196</v>
      </c>
      <c r="E63" s="148" t="s">
        <v>1224</v>
      </c>
      <c r="F63" s="149" t="str">
        <f t="shared" si="3"/>
        <v>GOOGLE-SHEET</v>
      </c>
    </row>
    <row r="64" spans="2:6" ht="13.2">
      <c r="B64" s="295">
        <v>11</v>
      </c>
      <c r="C64" s="295" t="s">
        <v>1225</v>
      </c>
      <c r="D64" s="142" t="s">
        <v>1188</v>
      </c>
      <c r="E64" s="143" t="s">
        <v>1226</v>
      </c>
      <c r="F64" s="144">
        <f t="shared" ref="F64:F68" si="4">LEN(D64)</f>
        <v>9</v>
      </c>
    </row>
    <row r="65" spans="2:6" ht="13.2">
      <c r="B65" s="293"/>
      <c r="C65" s="293"/>
      <c r="D65" s="150" t="s">
        <v>1190</v>
      </c>
      <c r="E65" s="51" t="s">
        <v>1227</v>
      </c>
      <c r="F65" s="146">
        <f t="shared" si="4"/>
        <v>14</v>
      </c>
    </row>
    <row r="66" spans="2:6" ht="13.2">
      <c r="B66" s="293"/>
      <c r="C66" s="293"/>
      <c r="D66" s="150" t="s">
        <v>1192</v>
      </c>
      <c r="E66" s="51" t="s">
        <v>1228</v>
      </c>
      <c r="F66" s="146">
        <f t="shared" si="4"/>
        <v>7</v>
      </c>
    </row>
    <row r="67" spans="2:6" ht="13.2">
      <c r="B67" s="293"/>
      <c r="C67" s="293"/>
      <c r="D67" s="150" t="s">
        <v>1194</v>
      </c>
      <c r="E67" s="51" t="s">
        <v>1229</v>
      </c>
      <c r="F67" s="146">
        <f t="shared" si="4"/>
        <v>12</v>
      </c>
    </row>
    <row r="68" spans="2:6" ht="13.2">
      <c r="B68" s="294"/>
      <c r="C68" s="294"/>
      <c r="D68" s="153" t="s">
        <v>1196</v>
      </c>
      <c r="E68" s="148" t="s">
        <v>1230</v>
      </c>
      <c r="F68" s="149">
        <f t="shared" si="4"/>
        <v>12</v>
      </c>
    </row>
    <row r="69" spans="2:6" ht="13.2">
      <c r="B69" s="295">
        <v>12</v>
      </c>
      <c r="C69" s="295" t="s">
        <v>1231</v>
      </c>
      <c r="D69" s="142" t="s">
        <v>1232</v>
      </c>
      <c r="E69" s="143" t="s">
        <v>1233</v>
      </c>
      <c r="F69" s="144" t="str">
        <f t="shared" ref="F69:F73" si="5">PROPER(D69)</f>
        <v>Midschool</v>
      </c>
    </row>
    <row r="70" spans="2:6" ht="13.2">
      <c r="B70" s="293"/>
      <c r="C70" s="293"/>
      <c r="D70" s="150" t="s">
        <v>1234</v>
      </c>
      <c r="E70" s="51" t="s">
        <v>1235</v>
      </c>
      <c r="F70" s="146" t="str">
        <f t="shared" si="5"/>
        <v>Happy Birttday</v>
      </c>
    </row>
    <row r="71" spans="2:6" ht="13.2">
      <c r="B71" s="293"/>
      <c r="C71" s="293"/>
      <c r="D71" s="150" t="s">
        <v>1236</v>
      </c>
      <c r="E71" s="51" t="s">
        <v>1237</v>
      </c>
      <c r="F71" s="146" t="str">
        <f t="shared" si="5"/>
        <v>Uniform</v>
      </c>
    </row>
    <row r="72" spans="2:6" ht="13.2">
      <c r="B72" s="293"/>
      <c r="C72" s="293"/>
      <c r="D72" s="150" t="s">
        <v>1238</v>
      </c>
      <c r="E72" s="51" t="s">
        <v>1239</v>
      </c>
      <c r="F72" s="146" t="str">
        <f t="shared" si="5"/>
        <v>Spreadsheets</v>
      </c>
    </row>
    <row r="73" spans="2:6" ht="13.2">
      <c r="B73" s="294"/>
      <c r="C73" s="294"/>
      <c r="D73" s="153" t="s">
        <v>1240</v>
      </c>
      <c r="E73" s="148" t="s">
        <v>1241</v>
      </c>
      <c r="F73" s="149" t="str">
        <f t="shared" si="5"/>
        <v>Google-Sheet</v>
      </c>
    </row>
    <row r="74" spans="2:6" ht="13.2">
      <c r="B74" s="295">
        <v>13</v>
      </c>
      <c r="C74" s="295" t="s">
        <v>1242</v>
      </c>
      <c r="D74" s="142" t="s">
        <v>1167</v>
      </c>
      <c r="E74" s="143" t="s">
        <v>1243</v>
      </c>
      <c r="F74" s="144" t="str">
        <f>REPLACE(D74,1,5,"T")</f>
        <v>T</v>
      </c>
    </row>
    <row r="75" spans="2:6" ht="13.2">
      <c r="B75" s="293"/>
      <c r="C75" s="293"/>
      <c r="D75" s="150" t="s">
        <v>1190</v>
      </c>
      <c r="E75" s="51" t="s">
        <v>1244</v>
      </c>
      <c r="F75" s="146" t="str">
        <f>REPLACE(D75,1,5,"G1")</f>
        <v>G1 Birthday</v>
      </c>
    </row>
    <row r="76" spans="2:6" ht="13.2">
      <c r="B76" s="293"/>
      <c r="C76" s="293"/>
      <c r="D76" s="150" t="s">
        <v>1192</v>
      </c>
      <c r="E76" s="51" t="s">
        <v>1245</v>
      </c>
      <c r="F76" s="146" t="str">
        <f>REPLACE(D76,2,4,"87")</f>
        <v>U87rm</v>
      </c>
    </row>
    <row r="77" spans="2:6" ht="13.2">
      <c r="B77" s="293"/>
      <c r="C77" s="293"/>
      <c r="D77" s="150" t="s">
        <v>1194</v>
      </c>
      <c r="E77" s="51" t="s">
        <v>1246</v>
      </c>
      <c r="F77" s="146" t="str">
        <f>REPLACE(D77,2,4,"XYZ")</f>
        <v>SXYZdsheets</v>
      </c>
    </row>
    <row r="78" spans="2:6" ht="13.2">
      <c r="B78" s="296"/>
      <c r="C78" s="296"/>
      <c r="D78" s="153" t="s">
        <v>1196</v>
      </c>
      <c r="E78" s="148" t="s">
        <v>1247</v>
      </c>
      <c r="F78" s="149" t="str">
        <f>REPLACE(D78,7,8,"%")</f>
        <v>Google%</v>
      </c>
    </row>
    <row r="79" spans="2:6" ht="13.2">
      <c r="B79" s="14"/>
      <c r="D79" s="14"/>
    </row>
    <row r="80" spans="2:6" ht="13.2">
      <c r="B80" s="14"/>
      <c r="D80" s="14"/>
    </row>
    <row r="81" spans="2:4" ht="13.2">
      <c r="B81" s="14"/>
      <c r="D81" s="14"/>
    </row>
    <row r="82" spans="2:4" ht="13.2">
      <c r="B82" s="14"/>
      <c r="D82" s="14"/>
    </row>
    <row r="83" spans="2:4" ht="13.2">
      <c r="B83" s="14"/>
      <c r="D83" s="14"/>
    </row>
    <row r="84" spans="2:4" ht="13.2">
      <c r="B84" s="14"/>
      <c r="D84" s="14"/>
    </row>
    <row r="85" spans="2:4" ht="13.2">
      <c r="B85" s="14"/>
      <c r="D85" s="14"/>
    </row>
    <row r="86" spans="2:4" ht="13.2">
      <c r="B86" s="14"/>
      <c r="D86" s="14"/>
    </row>
    <row r="87" spans="2:4" ht="13.2">
      <c r="B87" s="14"/>
      <c r="D87" s="14"/>
    </row>
    <row r="88" spans="2:4" ht="13.2">
      <c r="B88" s="14"/>
      <c r="D88" s="14"/>
    </row>
    <row r="89" spans="2:4" ht="13.2">
      <c r="B89" s="14"/>
      <c r="D89" s="14"/>
    </row>
    <row r="90" spans="2:4" ht="13.2">
      <c r="B90" s="14"/>
      <c r="D90" s="14"/>
    </row>
    <row r="91" spans="2:4" ht="13.2">
      <c r="B91" s="14"/>
      <c r="D91" s="14"/>
    </row>
    <row r="92" spans="2:4" ht="13.2">
      <c r="B92" s="14"/>
      <c r="D92" s="14"/>
    </row>
    <row r="93" spans="2:4" ht="13.2">
      <c r="B93" s="14"/>
      <c r="D93" s="14"/>
    </row>
    <row r="94" spans="2:4" ht="13.2">
      <c r="B94" s="14"/>
      <c r="D94" s="14"/>
    </row>
    <row r="95" spans="2:4" ht="13.2">
      <c r="B95" s="14"/>
      <c r="D95" s="14"/>
    </row>
    <row r="96" spans="2:4" ht="13.2">
      <c r="B96" s="14"/>
      <c r="D96" s="14"/>
    </row>
    <row r="97" spans="2:4" ht="13.2">
      <c r="B97" s="14"/>
      <c r="D97" s="14"/>
    </row>
    <row r="98" spans="2:4" ht="13.2">
      <c r="B98" s="14"/>
      <c r="D98" s="14"/>
    </row>
    <row r="99" spans="2:4" ht="13.2">
      <c r="B99" s="14"/>
      <c r="D99" s="14"/>
    </row>
    <row r="100" spans="2:4" ht="13.2">
      <c r="B100" s="14"/>
      <c r="D100" s="14"/>
    </row>
    <row r="101" spans="2:4" ht="13.2">
      <c r="B101" s="14"/>
      <c r="D101" s="14"/>
    </row>
    <row r="102" spans="2:4" ht="13.2">
      <c r="B102" s="14"/>
      <c r="D102" s="14"/>
    </row>
    <row r="103" spans="2:4" ht="13.2">
      <c r="B103" s="14"/>
      <c r="D103" s="14"/>
    </row>
    <row r="104" spans="2:4" ht="13.2">
      <c r="B104" s="14"/>
      <c r="D104" s="14"/>
    </row>
    <row r="105" spans="2:4" ht="13.2">
      <c r="B105" s="14"/>
      <c r="D105" s="14"/>
    </row>
    <row r="106" spans="2:4" ht="13.2">
      <c r="B106" s="14"/>
      <c r="D106" s="14"/>
    </row>
    <row r="107" spans="2:4" ht="13.2">
      <c r="B107" s="14"/>
      <c r="D107" s="14"/>
    </row>
    <row r="108" spans="2:4" ht="13.2">
      <c r="B108" s="14"/>
      <c r="D108" s="14"/>
    </row>
    <row r="109" spans="2:4" ht="13.2">
      <c r="B109" s="14"/>
      <c r="D109" s="14"/>
    </row>
    <row r="110" spans="2:4" ht="13.2">
      <c r="B110" s="14"/>
      <c r="D110" s="14"/>
    </row>
    <row r="111" spans="2:4" ht="13.2">
      <c r="B111" s="14"/>
      <c r="D111" s="14"/>
    </row>
    <row r="112" spans="2:4" ht="13.2">
      <c r="B112" s="14"/>
      <c r="D112" s="14"/>
    </row>
    <row r="113" spans="2:4" ht="13.2">
      <c r="B113" s="14"/>
      <c r="D113" s="14"/>
    </row>
    <row r="114" spans="2:4" ht="13.2">
      <c r="B114" s="14"/>
      <c r="D114" s="14"/>
    </row>
    <row r="115" spans="2:4" ht="13.2">
      <c r="B115" s="14"/>
      <c r="D115" s="14"/>
    </row>
    <row r="116" spans="2:4" ht="13.2">
      <c r="B116" s="14"/>
      <c r="D116" s="14"/>
    </row>
    <row r="117" spans="2:4" ht="13.2">
      <c r="B117" s="14"/>
      <c r="D117" s="14"/>
    </row>
    <row r="118" spans="2:4" ht="13.2">
      <c r="B118" s="14"/>
      <c r="D118" s="14"/>
    </row>
    <row r="119" spans="2:4" ht="13.2">
      <c r="B119" s="14"/>
      <c r="D119" s="14"/>
    </row>
    <row r="120" spans="2:4" ht="13.2">
      <c r="B120" s="14"/>
      <c r="D120" s="14"/>
    </row>
    <row r="121" spans="2:4" ht="13.2">
      <c r="B121" s="14"/>
      <c r="D121" s="14"/>
    </row>
    <row r="122" spans="2:4" ht="13.2">
      <c r="B122" s="14"/>
      <c r="D122" s="14"/>
    </row>
    <row r="123" spans="2:4" ht="13.2">
      <c r="B123" s="14"/>
      <c r="D123" s="14"/>
    </row>
    <row r="124" spans="2:4" ht="13.2">
      <c r="B124" s="14"/>
      <c r="D124" s="14"/>
    </row>
    <row r="125" spans="2:4" ht="13.2">
      <c r="B125" s="14"/>
      <c r="D125" s="14"/>
    </row>
    <row r="126" spans="2:4" ht="13.2">
      <c r="B126" s="14"/>
      <c r="D126" s="14"/>
    </row>
    <row r="127" spans="2:4" ht="13.2">
      <c r="B127" s="14"/>
      <c r="D127" s="14"/>
    </row>
    <row r="128" spans="2:4" ht="13.2">
      <c r="B128" s="14"/>
      <c r="D128" s="14"/>
    </row>
    <row r="129" spans="2:4" ht="13.2">
      <c r="B129" s="14"/>
      <c r="D129" s="14"/>
    </row>
    <row r="130" spans="2:4" ht="13.2">
      <c r="B130" s="14"/>
      <c r="D130" s="14"/>
    </row>
    <row r="131" spans="2:4" ht="13.2">
      <c r="B131" s="14"/>
      <c r="D131" s="14"/>
    </row>
    <row r="132" spans="2:4" ht="13.2">
      <c r="B132" s="14"/>
      <c r="D132" s="14"/>
    </row>
    <row r="133" spans="2:4" ht="13.2">
      <c r="B133" s="14"/>
      <c r="D133" s="14"/>
    </row>
    <row r="134" spans="2:4" ht="13.2">
      <c r="B134" s="14"/>
      <c r="D134" s="14"/>
    </row>
    <row r="135" spans="2:4" ht="13.2">
      <c r="B135" s="14"/>
      <c r="D135" s="14"/>
    </row>
    <row r="136" spans="2:4" ht="13.2">
      <c r="B136" s="14"/>
      <c r="D136" s="14"/>
    </row>
    <row r="137" spans="2:4" ht="13.2">
      <c r="B137" s="14"/>
      <c r="D137" s="14"/>
    </row>
    <row r="138" spans="2:4" ht="13.2">
      <c r="B138" s="14"/>
      <c r="D138" s="14"/>
    </row>
    <row r="139" spans="2:4" ht="13.2">
      <c r="B139" s="14"/>
      <c r="D139" s="14"/>
    </row>
    <row r="140" spans="2:4" ht="13.2">
      <c r="B140" s="14"/>
      <c r="D140" s="14"/>
    </row>
    <row r="141" spans="2:4" ht="13.2">
      <c r="B141" s="14"/>
      <c r="D141" s="14"/>
    </row>
    <row r="142" spans="2:4" ht="13.2">
      <c r="B142" s="14"/>
      <c r="D142" s="14"/>
    </row>
    <row r="143" spans="2:4" ht="13.2">
      <c r="B143" s="14"/>
      <c r="D143" s="14"/>
    </row>
    <row r="144" spans="2:4" ht="13.2">
      <c r="B144" s="14"/>
      <c r="D144" s="14"/>
    </row>
    <row r="145" spans="2:4" ht="13.2">
      <c r="B145" s="14"/>
      <c r="D145" s="14"/>
    </row>
    <row r="146" spans="2:4" ht="13.2">
      <c r="B146" s="14"/>
      <c r="D146" s="14"/>
    </row>
    <row r="147" spans="2:4" ht="13.2">
      <c r="B147" s="14"/>
      <c r="D147" s="14"/>
    </row>
    <row r="148" spans="2:4" ht="13.2">
      <c r="B148" s="14"/>
      <c r="D148" s="14"/>
    </row>
    <row r="149" spans="2:4" ht="13.2">
      <c r="B149" s="14"/>
      <c r="D149" s="14"/>
    </row>
    <row r="150" spans="2:4" ht="13.2">
      <c r="B150" s="14"/>
      <c r="D150" s="14"/>
    </row>
    <row r="151" spans="2:4" ht="13.2">
      <c r="B151" s="14"/>
      <c r="D151" s="14"/>
    </row>
    <row r="152" spans="2:4" ht="13.2">
      <c r="B152" s="14"/>
      <c r="D152" s="14"/>
    </row>
    <row r="153" spans="2:4" ht="13.2">
      <c r="B153" s="14"/>
      <c r="D153" s="14"/>
    </row>
    <row r="154" spans="2:4" ht="13.2">
      <c r="B154" s="14"/>
      <c r="D154" s="14"/>
    </row>
    <row r="155" spans="2:4" ht="13.2">
      <c r="B155" s="14"/>
      <c r="D155" s="14"/>
    </row>
    <row r="156" spans="2:4" ht="13.2">
      <c r="B156" s="14"/>
      <c r="D156" s="14"/>
    </row>
    <row r="157" spans="2:4" ht="13.2">
      <c r="B157" s="14"/>
      <c r="D157" s="14"/>
    </row>
    <row r="158" spans="2:4" ht="13.2">
      <c r="B158" s="14"/>
      <c r="D158" s="14"/>
    </row>
    <row r="159" spans="2:4" ht="13.2">
      <c r="B159" s="14"/>
      <c r="D159" s="14"/>
    </row>
    <row r="160" spans="2:4" ht="13.2">
      <c r="B160" s="14"/>
      <c r="D160" s="14"/>
    </row>
    <row r="161" spans="2:4" ht="13.2">
      <c r="B161" s="14"/>
      <c r="D161" s="14"/>
    </row>
    <row r="162" spans="2:4" ht="13.2">
      <c r="B162" s="14"/>
      <c r="D162" s="14"/>
    </row>
    <row r="163" spans="2:4" ht="13.2">
      <c r="B163" s="14"/>
      <c r="D163" s="14"/>
    </row>
    <row r="164" spans="2:4" ht="13.2">
      <c r="B164" s="14"/>
      <c r="D164" s="14"/>
    </row>
    <row r="165" spans="2:4" ht="13.2">
      <c r="B165" s="14"/>
      <c r="D165" s="14"/>
    </row>
    <row r="166" spans="2:4" ht="13.2">
      <c r="B166" s="14"/>
      <c r="D166" s="14"/>
    </row>
    <row r="167" spans="2:4" ht="13.2">
      <c r="B167" s="14"/>
      <c r="D167" s="14"/>
    </row>
    <row r="168" spans="2:4" ht="13.2">
      <c r="B168" s="14"/>
      <c r="D168" s="14"/>
    </row>
    <row r="169" spans="2:4" ht="13.2">
      <c r="B169" s="14"/>
      <c r="D169" s="14"/>
    </row>
    <row r="170" spans="2:4" ht="13.2">
      <c r="B170" s="14"/>
      <c r="D170" s="14"/>
    </row>
    <row r="171" spans="2:4" ht="13.2">
      <c r="B171" s="14"/>
      <c r="D171" s="14"/>
    </row>
    <row r="172" spans="2:4" ht="13.2">
      <c r="B172" s="14"/>
      <c r="D172" s="14"/>
    </row>
    <row r="173" spans="2:4" ht="13.2">
      <c r="B173" s="14"/>
      <c r="D173" s="14"/>
    </row>
    <row r="174" spans="2:4" ht="13.2">
      <c r="B174" s="14"/>
      <c r="D174" s="14"/>
    </row>
    <row r="175" spans="2:4" ht="13.2">
      <c r="B175" s="14"/>
      <c r="D175" s="14"/>
    </row>
    <row r="176" spans="2:4" ht="13.2">
      <c r="B176" s="14"/>
      <c r="D176" s="14"/>
    </row>
    <row r="177" spans="2:4" ht="13.2">
      <c r="B177" s="14"/>
      <c r="D177" s="14"/>
    </row>
    <row r="178" spans="2:4" ht="13.2">
      <c r="B178" s="14"/>
      <c r="D178" s="14"/>
    </row>
    <row r="179" spans="2:4" ht="13.2">
      <c r="B179" s="14"/>
      <c r="D179" s="14"/>
    </row>
    <row r="180" spans="2:4" ht="13.2">
      <c r="B180" s="14"/>
      <c r="D180" s="14"/>
    </row>
    <row r="181" spans="2:4" ht="13.2">
      <c r="B181" s="14"/>
      <c r="D181" s="14"/>
    </row>
    <row r="182" spans="2:4" ht="13.2">
      <c r="B182" s="14"/>
      <c r="D182" s="14"/>
    </row>
    <row r="183" spans="2:4" ht="13.2">
      <c r="B183" s="14"/>
      <c r="D183" s="14"/>
    </row>
    <row r="184" spans="2:4" ht="13.2">
      <c r="B184" s="14"/>
      <c r="D184" s="14"/>
    </row>
    <row r="185" spans="2:4" ht="13.2">
      <c r="B185" s="14"/>
      <c r="D185" s="14"/>
    </row>
    <row r="186" spans="2:4" ht="13.2">
      <c r="B186" s="14"/>
      <c r="D186" s="14"/>
    </row>
    <row r="187" spans="2:4" ht="13.2">
      <c r="B187" s="14"/>
      <c r="D187" s="14"/>
    </row>
    <row r="188" spans="2:4" ht="13.2">
      <c r="B188" s="14"/>
      <c r="D188" s="14"/>
    </row>
    <row r="189" spans="2:4" ht="13.2">
      <c r="B189" s="14"/>
      <c r="D189" s="14"/>
    </row>
    <row r="190" spans="2:4" ht="13.2">
      <c r="B190" s="14"/>
      <c r="D190" s="14"/>
    </row>
    <row r="191" spans="2:4" ht="13.2">
      <c r="B191" s="14"/>
      <c r="D191" s="14"/>
    </row>
    <row r="192" spans="2:4" ht="13.2">
      <c r="B192" s="14"/>
      <c r="D192" s="14"/>
    </row>
    <row r="193" spans="2:4" ht="13.2">
      <c r="B193" s="14"/>
      <c r="D193" s="14"/>
    </row>
    <row r="194" spans="2:4" ht="13.2">
      <c r="B194" s="14"/>
      <c r="D194" s="14"/>
    </row>
    <row r="195" spans="2:4" ht="13.2">
      <c r="B195" s="14"/>
      <c r="D195" s="14"/>
    </row>
    <row r="196" spans="2:4" ht="13.2">
      <c r="B196" s="14"/>
      <c r="D196" s="14"/>
    </row>
    <row r="197" spans="2:4" ht="13.2">
      <c r="B197" s="14"/>
      <c r="D197" s="14"/>
    </row>
    <row r="198" spans="2:4" ht="13.2">
      <c r="B198" s="14"/>
      <c r="D198" s="14"/>
    </row>
    <row r="199" spans="2:4" ht="13.2">
      <c r="B199" s="14"/>
      <c r="D199" s="14"/>
    </row>
    <row r="200" spans="2:4" ht="13.2">
      <c r="B200" s="14"/>
      <c r="D200" s="14"/>
    </row>
    <row r="201" spans="2:4" ht="13.2">
      <c r="B201" s="14"/>
      <c r="D201" s="14"/>
    </row>
    <row r="202" spans="2:4" ht="13.2">
      <c r="B202" s="14"/>
      <c r="D202" s="14"/>
    </row>
    <row r="203" spans="2:4" ht="13.2">
      <c r="B203" s="14"/>
      <c r="D203" s="14"/>
    </row>
    <row r="204" spans="2:4" ht="13.2">
      <c r="B204" s="14"/>
      <c r="D204" s="14"/>
    </row>
    <row r="205" spans="2:4" ht="13.2">
      <c r="B205" s="14"/>
      <c r="D205" s="14"/>
    </row>
    <row r="206" spans="2:4" ht="13.2">
      <c r="B206" s="14"/>
      <c r="D206" s="14"/>
    </row>
    <row r="207" spans="2:4" ht="13.2">
      <c r="B207" s="14"/>
      <c r="D207" s="14"/>
    </row>
    <row r="208" spans="2:4" ht="13.2">
      <c r="B208" s="14"/>
      <c r="D208" s="14"/>
    </row>
    <row r="209" spans="2:4" ht="13.2">
      <c r="B209" s="14"/>
      <c r="D209" s="14"/>
    </row>
    <row r="210" spans="2:4" ht="13.2">
      <c r="B210" s="14"/>
      <c r="D210" s="14"/>
    </row>
    <row r="211" spans="2:4" ht="13.2">
      <c r="B211" s="14"/>
      <c r="D211" s="14"/>
    </row>
    <row r="212" spans="2:4" ht="13.2">
      <c r="B212" s="14"/>
      <c r="D212" s="14"/>
    </row>
    <row r="213" spans="2:4" ht="13.2">
      <c r="B213" s="14"/>
      <c r="D213" s="14"/>
    </row>
    <row r="214" spans="2:4" ht="13.2">
      <c r="B214" s="14"/>
      <c r="D214" s="14"/>
    </row>
    <row r="215" spans="2:4" ht="13.2">
      <c r="B215" s="14"/>
      <c r="D215" s="14"/>
    </row>
    <row r="216" spans="2:4" ht="13.2">
      <c r="B216" s="14"/>
      <c r="D216" s="14"/>
    </row>
    <row r="217" spans="2:4" ht="13.2">
      <c r="B217" s="14"/>
      <c r="D217" s="14"/>
    </row>
    <row r="218" spans="2:4" ht="13.2">
      <c r="B218" s="14"/>
      <c r="D218" s="14"/>
    </row>
    <row r="219" spans="2:4" ht="13.2">
      <c r="B219" s="14"/>
      <c r="D219" s="14"/>
    </row>
    <row r="220" spans="2:4" ht="13.2">
      <c r="B220" s="14"/>
      <c r="D220" s="14"/>
    </row>
    <row r="221" spans="2:4" ht="13.2">
      <c r="B221" s="14"/>
      <c r="D221" s="14"/>
    </row>
    <row r="222" spans="2:4" ht="13.2">
      <c r="B222" s="14"/>
      <c r="D222" s="14"/>
    </row>
    <row r="223" spans="2:4" ht="13.2">
      <c r="B223" s="14"/>
      <c r="D223" s="14"/>
    </row>
    <row r="224" spans="2:4" ht="13.2">
      <c r="B224" s="14"/>
      <c r="D224" s="14"/>
    </row>
    <row r="225" spans="2:4" ht="13.2">
      <c r="B225" s="14"/>
      <c r="D225" s="14"/>
    </row>
    <row r="226" spans="2:4" ht="13.2">
      <c r="B226" s="14"/>
      <c r="D226" s="14"/>
    </row>
    <row r="227" spans="2:4" ht="13.2">
      <c r="B227" s="14"/>
      <c r="D227" s="14"/>
    </row>
    <row r="228" spans="2:4" ht="13.2">
      <c r="B228" s="14"/>
      <c r="D228" s="14"/>
    </row>
    <row r="229" spans="2:4" ht="13.2">
      <c r="B229" s="14"/>
      <c r="D229" s="14"/>
    </row>
    <row r="230" spans="2:4" ht="13.2">
      <c r="B230" s="14"/>
      <c r="D230" s="14"/>
    </row>
    <row r="231" spans="2:4" ht="13.2">
      <c r="B231" s="14"/>
      <c r="D231" s="14"/>
    </row>
    <row r="232" spans="2:4" ht="13.2">
      <c r="B232" s="14"/>
      <c r="D232" s="14"/>
    </row>
    <row r="233" spans="2:4" ht="13.2">
      <c r="B233" s="14"/>
      <c r="D233" s="14"/>
    </row>
    <row r="234" spans="2:4" ht="13.2">
      <c r="B234" s="14"/>
      <c r="D234" s="14"/>
    </row>
    <row r="235" spans="2:4" ht="13.2">
      <c r="B235" s="14"/>
      <c r="D235" s="14"/>
    </row>
    <row r="236" spans="2:4" ht="13.2">
      <c r="B236" s="14"/>
      <c r="D236" s="14"/>
    </row>
    <row r="237" spans="2:4" ht="13.2">
      <c r="B237" s="14"/>
      <c r="D237" s="14"/>
    </row>
    <row r="238" spans="2:4" ht="13.2">
      <c r="B238" s="14"/>
      <c r="D238" s="14"/>
    </row>
    <row r="239" spans="2:4" ht="13.2">
      <c r="B239" s="14"/>
      <c r="D239" s="14"/>
    </row>
    <row r="240" spans="2:4" ht="13.2">
      <c r="B240" s="14"/>
      <c r="D240" s="14"/>
    </row>
    <row r="241" spans="2:4" ht="13.2">
      <c r="B241" s="14"/>
      <c r="D241" s="14"/>
    </row>
    <row r="242" spans="2:4" ht="13.2">
      <c r="B242" s="14"/>
      <c r="D242" s="14"/>
    </row>
    <row r="243" spans="2:4" ht="13.2">
      <c r="B243" s="14"/>
      <c r="D243" s="14"/>
    </row>
    <row r="244" spans="2:4" ht="13.2">
      <c r="B244" s="14"/>
      <c r="D244" s="14"/>
    </row>
    <row r="245" spans="2:4" ht="13.2">
      <c r="B245" s="14"/>
      <c r="D245" s="14"/>
    </row>
    <row r="246" spans="2:4" ht="13.2">
      <c r="B246" s="14"/>
      <c r="D246" s="14"/>
    </row>
    <row r="247" spans="2:4" ht="13.2">
      <c r="B247" s="14"/>
      <c r="D247" s="14"/>
    </row>
    <row r="248" spans="2:4" ht="13.2">
      <c r="B248" s="14"/>
      <c r="D248" s="14"/>
    </row>
    <row r="249" spans="2:4" ht="13.2">
      <c r="B249" s="14"/>
      <c r="D249" s="14"/>
    </row>
    <row r="250" spans="2:4" ht="13.2">
      <c r="B250" s="14"/>
      <c r="D250" s="14"/>
    </row>
    <row r="251" spans="2:4" ht="13.2">
      <c r="B251" s="14"/>
      <c r="D251" s="14"/>
    </row>
    <row r="252" spans="2:4" ht="13.2">
      <c r="B252" s="14"/>
      <c r="D252" s="14"/>
    </row>
    <row r="253" spans="2:4" ht="13.2">
      <c r="B253" s="14"/>
      <c r="D253" s="14"/>
    </row>
    <row r="254" spans="2:4" ht="13.2">
      <c r="B254" s="14"/>
      <c r="D254" s="14"/>
    </row>
    <row r="255" spans="2:4" ht="13.2">
      <c r="B255" s="14"/>
      <c r="D255" s="14"/>
    </row>
    <row r="256" spans="2:4" ht="13.2">
      <c r="B256" s="14"/>
      <c r="D256" s="14"/>
    </row>
    <row r="257" spans="2:4" ht="13.2">
      <c r="B257" s="14"/>
      <c r="D257" s="14"/>
    </row>
    <row r="258" spans="2:4" ht="13.2">
      <c r="B258" s="14"/>
      <c r="D258" s="14"/>
    </row>
    <row r="259" spans="2:4" ht="13.2">
      <c r="B259" s="14"/>
      <c r="D259" s="14"/>
    </row>
    <row r="260" spans="2:4" ht="13.2">
      <c r="B260" s="14"/>
      <c r="D260" s="14"/>
    </row>
    <row r="261" spans="2:4" ht="13.2">
      <c r="B261" s="14"/>
      <c r="D261" s="14"/>
    </row>
    <row r="262" spans="2:4" ht="13.2">
      <c r="B262" s="14"/>
      <c r="D262" s="14"/>
    </row>
    <row r="263" spans="2:4" ht="13.2">
      <c r="B263" s="14"/>
      <c r="D263" s="14"/>
    </row>
    <row r="264" spans="2:4" ht="13.2">
      <c r="B264" s="14"/>
      <c r="D264" s="14"/>
    </row>
    <row r="265" spans="2:4" ht="13.2">
      <c r="B265" s="14"/>
      <c r="D265" s="14"/>
    </row>
    <row r="266" spans="2:4" ht="13.2">
      <c r="B266" s="14"/>
      <c r="D266" s="14"/>
    </row>
    <row r="267" spans="2:4" ht="13.2">
      <c r="B267" s="14"/>
      <c r="D267" s="14"/>
    </row>
    <row r="268" spans="2:4" ht="13.2">
      <c r="B268" s="14"/>
      <c r="D268" s="14"/>
    </row>
    <row r="269" spans="2:4" ht="13.2">
      <c r="B269" s="14"/>
      <c r="D269" s="14"/>
    </row>
    <row r="270" spans="2:4" ht="13.2">
      <c r="B270" s="14"/>
      <c r="D270" s="14"/>
    </row>
    <row r="271" spans="2:4" ht="13.2">
      <c r="B271" s="14"/>
      <c r="D271" s="14"/>
    </row>
    <row r="272" spans="2:4" ht="13.2">
      <c r="B272" s="14"/>
      <c r="D272" s="14"/>
    </row>
    <row r="273" spans="2:4" ht="13.2">
      <c r="B273" s="14"/>
      <c r="D273" s="14"/>
    </row>
    <row r="274" spans="2:4" ht="13.2">
      <c r="B274" s="14"/>
      <c r="D274" s="14"/>
    </row>
    <row r="275" spans="2:4" ht="13.2">
      <c r="B275" s="14"/>
      <c r="D275" s="14"/>
    </row>
    <row r="276" spans="2:4" ht="13.2">
      <c r="B276" s="14"/>
      <c r="D276" s="14"/>
    </row>
    <row r="277" spans="2:4" ht="13.2">
      <c r="B277" s="14"/>
      <c r="D277" s="14"/>
    </row>
    <row r="278" spans="2:4" ht="13.2">
      <c r="B278" s="14"/>
      <c r="D278" s="14"/>
    </row>
    <row r="279" spans="2:4" ht="13.2">
      <c r="B279" s="14"/>
      <c r="D279" s="14"/>
    </row>
    <row r="280" spans="2:4" ht="13.2">
      <c r="B280" s="14"/>
      <c r="D280" s="14"/>
    </row>
    <row r="281" spans="2:4" ht="13.2">
      <c r="B281" s="14"/>
      <c r="D281" s="14"/>
    </row>
    <row r="282" spans="2:4" ht="13.2">
      <c r="B282" s="14"/>
      <c r="D282" s="14"/>
    </row>
    <row r="283" spans="2:4" ht="13.2">
      <c r="B283" s="14"/>
      <c r="D283" s="14"/>
    </row>
    <row r="284" spans="2:4" ht="13.2">
      <c r="B284" s="14"/>
      <c r="D284" s="14"/>
    </row>
    <row r="285" spans="2:4" ht="13.2">
      <c r="B285" s="14"/>
      <c r="D285" s="14"/>
    </row>
    <row r="286" spans="2:4" ht="13.2">
      <c r="B286" s="14"/>
      <c r="D286" s="14"/>
    </row>
    <row r="287" spans="2:4" ht="13.2">
      <c r="B287" s="14"/>
      <c r="D287" s="14"/>
    </row>
    <row r="288" spans="2:4" ht="13.2">
      <c r="B288" s="14"/>
      <c r="D288" s="14"/>
    </row>
    <row r="289" spans="2:4" ht="13.2">
      <c r="B289" s="14"/>
      <c r="D289" s="14"/>
    </row>
    <row r="290" spans="2:4" ht="13.2">
      <c r="B290" s="14"/>
      <c r="D290" s="14"/>
    </row>
    <row r="291" spans="2:4" ht="13.2">
      <c r="B291" s="14"/>
      <c r="D291" s="14"/>
    </row>
    <row r="292" spans="2:4" ht="13.2">
      <c r="B292" s="14"/>
      <c r="D292" s="14"/>
    </row>
    <row r="293" spans="2:4" ht="13.2">
      <c r="B293" s="14"/>
      <c r="D293" s="14"/>
    </row>
    <row r="294" spans="2:4" ht="13.2">
      <c r="B294" s="14"/>
      <c r="D294" s="14"/>
    </row>
    <row r="295" spans="2:4" ht="13.2">
      <c r="B295" s="14"/>
      <c r="D295" s="14"/>
    </row>
    <row r="296" spans="2:4" ht="13.2">
      <c r="B296" s="14"/>
      <c r="D296" s="14"/>
    </row>
    <row r="297" spans="2:4" ht="13.2">
      <c r="B297" s="14"/>
      <c r="D297" s="14"/>
    </row>
    <row r="298" spans="2:4" ht="13.2">
      <c r="B298" s="14"/>
      <c r="D298" s="14"/>
    </row>
    <row r="299" spans="2:4" ht="13.2">
      <c r="B299" s="14"/>
      <c r="D299" s="14"/>
    </row>
    <row r="300" spans="2:4" ht="13.2">
      <c r="B300" s="14"/>
      <c r="D300" s="14"/>
    </row>
    <row r="301" spans="2:4" ht="13.2">
      <c r="B301" s="14"/>
      <c r="D301" s="14"/>
    </row>
    <row r="302" spans="2:4" ht="13.2">
      <c r="B302" s="14"/>
      <c r="D302" s="14"/>
    </row>
    <row r="303" spans="2:4" ht="13.2">
      <c r="B303" s="14"/>
      <c r="D303" s="14"/>
    </row>
    <row r="304" spans="2:4" ht="13.2">
      <c r="B304" s="14"/>
      <c r="D304" s="14"/>
    </row>
    <row r="305" spans="2:4" ht="13.2">
      <c r="B305" s="14"/>
      <c r="D305" s="14"/>
    </row>
    <row r="306" spans="2:4" ht="13.2">
      <c r="B306" s="14"/>
      <c r="D306" s="14"/>
    </row>
    <row r="307" spans="2:4" ht="13.2">
      <c r="B307" s="14"/>
      <c r="D307" s="14"/>
    </row>
    <row r="308" spans="2:4" ht="13.2">
      <c r="B308" s="14"/>
      <c r="D308" s="14"/>
    </row>
    <row r="309" spans="2:4" ht="13.2">
      <c r="B309" s="14"/>
      <c r="D309" s="14"/>
    </row>
    <row r="310" spans="2:4" ht="13.2">
      <c r="B310" s="14"/>
      <c r="D310" s="14"/>
    </row>
    <row r="311" spans="2:4" ht="13.2">
      <c r="B311" s="14"/>
      <c r="D311" s="14"/>
    </row>
    <row r="312" spans="2:4" ht="13.2">
      <c r="B312" s="14"/>
      <c r="D312" s="14"/>
    </row>
    <row r="313" spans="2:4" ht="13.2">
      <c r="B313" s="14"/>
      <c r="D313" s="14"/>
    </row>
    <row r="314" spans="2:4" ht="13.2">
      <c r="B314" s="14"/>
      <c r="D314" s="14"/>
    </row>
    <row r="315" spans="2:4" ht="13.2">
      <c r="B315" s="14"/>
      <c r="D315" s="14"/>
    </row>
    <row r="316" spans="2:4" ht="13.2">
      <c r="B316" s="14"/>
      <c r="D316" s="14"/>
    </row>
    <row r="317" spans="2:4" ht="13.2">
      <c r="B317" s="14"/>
      <c r="D317" s="14"/>
    </row>
    <row r="318" spans="2:4" ht="13.2">
      <c r="B318" s="14"/>
      <c r="D318" s="14"/>
    </row>
    <row r="319" spans="2:4" ht="13.2">
      <c r="B319" s="14"/>
      <c r="D319" s="14"/>
    </row>
    <row r="320" spans="2:4" ht="13.2">
      <c r="B320" s="14"/>
      <c r="D320" s="14"/>
    </row>
    <row r="321" spans="2:4" ht="13.2">
      <c r="B321" s="14"/>
      <c r="D321" s="14"/>
    </row>
    <row r="322" spans="2:4" ht="13.2">
      <c r="B322" s="14"/>
      <c r="D322" s="14"/>
    </row>
    <row r="323" spans="2:4" ht="13.2">
      <c r="B323" s="14"/>
      <c r="D323" s="14"/>
    </row>
    <row r="324" spans="2:4" ht="13.2">
      <c r="B324" s="14"/>
      <c r="D324" s="14"/>
    </row>
    <row r="325" spans="2:4" ht="13.2">
      <c r="B325" s="14"/>
      <c r="D325" s="14"/>
    </row>
    <row r="326" spans="2:4" ht="13.2">
      <c r="B326" s="14"/>
      <c r="D326" s="14"/>
    </row>
    <row r="327" spans="2:4" ht="13.2">
      <c r="B327" s="14"/>
      <c r="D327" s="14"/>
    </row>
    <row r="328" spans="2:4" ht="13.2">
      <c r="B328" s="14"/>
      <c r="D328" s="14"/>
    </row>
    <row r="329" spans="2:4" ht="13.2">
      <c r="B329" s="14"/>
      <c r="D329" s="14"/>
    </row>
    <row r="330" spans="2:4" ht="13.2">
      <c r="B330" s="14"/>
      <c r="D330" s="14"/>
    </row>
    <row r="331" spans="2:4" ht="13.2">
      <c r="B331" s="14"/>
      <c r="D331" s="14"/>
    </row>
    <row r="332" spans="2:4" ht="13.2">
      <c r="B332" s="14"/>
      <c r="D332" s="14"/>
    </row>
    <row r="333" spans="2:4" ht="13.2">
      <c r="B333" s="14"/>
      <c r="D333" s="14"/>
    </row>
    <row r="334" spans="2:4" ht="13.2">
      <c r="B334" s="14"/>
      <c r="D334" s="14"/>
    </row>
    <row r="335" spans="2:4" ht="13.2">
      <c r="B335" s="14"/>
      <c r="D335" s="14"/>
    </row>
    <row r="336" spans="2:4" ht="13.2">
      <c r="B336" s="14"/>
      <c r="D336" s="14"/>
    </row>
    <row r="337" spans="2:4" ht="13.2">
      <c r="B337" s="14"/>
      <c r="D337" s="14"/>
    </row>
    <row r="338" spans="2:4" ht="13.2">
      <c r="B338" s="14"/>
      <c r="D338" s="14"/>
    </row>
    <row r="339" spans="2:4" ht="13.2">
      <c r="B339" s="14"/>
      <c r="D339" s="14"/>
    </row>
    <row r="340" spans="2:4" ht="13.2">
      <c r="B340" s="14"/>
      <c r="D340" s="14"/>
    </row>
    <row r="341" spans="2:4" ht="13.2">
      <c r="B341" s="14"/>
      <c r="D341" s="14"/>
    </row>
    <row r="342" spans="2:4" ht="13.2">
      <c r="B342" s="14"/>
      <c r="D342" s="14"/>
    </row>
    <row r="343" spans="2:4" ht="13.2">
      <c r="B343" s="14"/>
      <c r="D343" s="14"/>
    </row>
    <row r="344" spans="2:4" ht="13.2">
      <c r="B344" s="14"/>
      <c r="D344" s="14"/>
    </row>
    <row r="345" spans="2:4" ht="13.2">
      <c r="B345" s="14"/>
      <c r="D345" s="14"/>
    </row>
    <row r="346" spans="2:4" ht="13.2">
      <c r="B346" s="14"/>
      <c r="D346" s="14"/>
    </row>
    <row r="347" spans="2:4" ht="13.2">
      <c r="B347" s="14"/>
      <c r="D347" s="14"/>
    </row>
    <row r="348" spans="2:4" ht="13.2">
      <c r="B348" s="14"/>
      <c r="D348" s="14"/>
    </row>
    <row r="349" spans="2:4" ht="13.2">
      <c r="B349" s="14"/>
      <c r="D349" s="14"/>
    </row>
    <row r="350" spans="2:4" ht="13.2">
      <c r="B350" s="14"/>
      <c r="D350" s="14"/>
    </row>
    <row r="351" spans="2:4" ht="13.2">
      <c r="B351" s="14"/>
      <c r="D351" s="14"/>
    </row>
    <row r="352" spans="2:4" ht="13.2">
      <c r="B352" s="14"/>
      <c r="D352" s="14"/>
    </row>
    <row r="353" spans="2:4" ht="13.2">
      <c r="B353" s="14"/>
      <c r="D353" s="14"/>
    </row>
    <row r="354" spans="2:4" ht="13.2">
      <c r="B354" s="14"/>
      <c r="D354" s="14"/>
    </row>
    <row r="355" spans="2:4" ht="13.2">
      <c r="B355" s="14"/>
      <c r="D355" s="14"/>
    </row>
    <row r="356" spans="2:4" ht="13.2">
      <c r="B356" s="14"/>
      <c r="D356" s="14"/>
    </row>
    <row r="357" spans="2:4" ht="13.2">
      <c r="B357" s="14"/>
      <c r="D357" s="14"/>
    </row>
    <row r="358" spans="2:4" ht="13.2">
      <c r="B358" s="14"/>
      <c r="D358" s="14"/>
    </row>
    <row r="359" spans="2:4" ht="13.2">
      <c r="B359" s="14"/>
      <c r="D359" s="14"/>
    </row>
    <row r="360" spans="2:4" ht="13.2">
      <c r="B360" s="14"/>
      <c r="D360" s="14"/>
    </row>
    <row r="361" spans="2:4" ht="13.2">
      <c r="B361" s="14"/>
      <c r="D361" s="14"/>
    </row>
    <row r="362" spans="2:4" ht="13.2">
      <c r="B362" s="14"/>
      <c r="D362" s="14"/>
    </row>
    <row r="363" spans="2:4" ht="13.2">
      <c r="B363" s="14"/>
      <c r="D363" s="14"/>
    </row>
    <row r="364" spans="2:4" ht="13.2">
      <c r="B364" s="14"/>
      <c r="D364" s="14"/>
    </row>
    <row r="365" spans="2:4" ht="13.2">
      <c r="B365" s="14"/>
      <c r="D365" s="14"/>
    </row>
    <row r="366" spans="2:4" ht="13.2">
      <c r="B366" s="14"/>
      <c r="D366" s="14"/>
    </row>
    <row r="367" spans="2:4" ht="13.2">
      <c r="B367" s="14"/>
      <c r="D367" s="14"/>
    </row>
    <row r="368" spans="2:4" ht="13.2">
      <c r="B368" s="14"/>
      <c r="D368" s="14"/>
    </row>
    <row r="369" spans="2:4" ht="13.2">
      <c r="B369" s="14"/>
      <c r="D369" s="14"/>
    </row>
    <row r="370" spans="2:4" ht="13.2">
      <c r="B370" s="14"/>
      <c r="D370" s="14"/>
    </row>
    <row r="371" spans="2:4" ht="13.2">
      <c r="B371" s="14"/>
      <c r="D371" s="14"/>
    </row>
    <row r="372" spans="2:4" ht="13.2">
      <c r="B372" s="14"/>
      <c r="D372" s="14"/>
    </row>
    <row r="373" spans="2:4" ht="13.2">
      <c r="B373" s="14"/>
      <c r="D373" s="14"/>
    </row>
    <row r="374" spans="2:4" ht="13.2">
      <c r="B374" s="14"/>
      <c r="D374" s="14"/>
    </row>
    <row r="375" spans="2:4" ht="13.2">
      <c r="B375" s="14"/>
      <c r="D375" s="14"/>
    </row>
    <row r="376" spans="2:4" ht="13.2">
      <c r="B376" s="14"/>
      <c r="D376" s="14"/>
    </row>
    <row r="377" spans="2:4" ht="13.2">
      <c r="B377" s="14"/>
      <c r="D377" s="14"/>
    </row>
    <row r="378" spans="2:4" ht="13.2">
      <c r="B378" s="14"/>
      <c r="D378" s="14"/>
    </row>
    <row r="379" spans="2:4" ht="13.2">
      <c r="B379" s="14"/>
      <c r="D379" s="14"/>
    </row>
    <row r="380" spans="2:4" ht="13.2">
      <c r="B380" s="14"/>
      <c r="D380" s="14"/>
    </row>
    <row r="381" spans="2:4" ht="13.2">
      <c r="B381" s="14"/>
      <c r="D381" s="14"/>
    </row>
    <row r="382" spans="2:4" ht="13.2">
      <c r="B382" s="14"/>
      <c r="D382" s="14"/>
    </row>
    <row r="383" spans="2:4" ht="13.2">
      <c r="B383" s="14"/>
      <c r="D383" s="14"/>
    </row>
    <row r="384" spans="2:4" ht="13.2">
      <c r="B384" s="14"/>
      <c r="D384" s="14"/>
    </row>
    <row r="385" spans="2:4" ht="13.2">
      <c r="B385" s="14"/>
      <c r="D385" s="14"/>
    </row>
    <row r="386" spans="2:4" ht="13.2">
      <c r="B386" s="14"/>
      <c r="D386" s="14"/>
    </row>
    <row r="387" spans="2:4" ht="13.2">
      <c r="B387" s="14"/>
      <c r="D387" s="14"/>
    </row>
    <row r="388" spans="2:4" ht="13.2">
      <c r="B388" s="14"/>
      <c r="D388" s="14"/>
    </row>
    <row r="389" spans="2:4" ht="13.2">
      <c r="B389" s="14"/>
      <c r="D389" s="14"/>
    </row>
    <row r="390" spans="2:4" ht="13.2">
      <c r="B390" s="14"/>
      <c r="D390" s="14"/>
    </row>
    <row r="391" spans="2:4" ht="13.2">
      <c r="B391" s="14"/>
      <c r="D391" s="14"/>
    </row>
    <row r="392" spans="2:4" ht="13.2">
      <c r="B392" s="14"/>
      <c r="D392" s="14"/>
    </row>
    <row r="393" spans="2:4" ht="13.2">
      <c r="B393" s="14"/>
      <c r="D393" s="14"/>
    </row>
    <row r="394" spans="2:4" ht="13.2">
      <c r="B394" s="14"/>
      <c r="D394" s="14"/>
    </row>
    <row r="395" spans="2:4" ht="13.2">
      <c r="B395" s="14"/>
      <c r="D395" s="14"/>
    </row>
    <row r="396" spans="2:4" ht="13.2">
      <c r="B396" s="14"/>
      <c r="D396" s="14"/>
    </row>
    <row r="397" spans="2:4" ht="13.2">
      <c r="B397" s="14"/>
      <c r="D397" s="14"/>
    </row>
    <row r="398" spans="2:4" ht="13.2">
      <c r="B398" s="14"/>
      <c r="D398" s="14"/>
    </row>
    <row r="399" spans="2:4" ht="13.2">
      <c r="B399" s="14"/>
      <c r="D399" s="14"/>
    </row>
    <row r="400" spans="2:4" ht="13.2">
      <c r="B400" s="14"/>
      <c r="D400" s="14"/>
    </row>
    <row r="401" spans="2:4" ht="13.2">
      <c r="B401" s="14"/>
      <c r="D401" s="14"/>
    </row>
    <row r="402" spans="2:4" ht="13.2">
      <c r="B402" s="14"/>
      <c r="D402" s="14"/>
    </row>
    <row r="403" spans="2:4" ht="13.2">
      <c r="B403" s="14"/>
      <c r="D403" s="14"/>
    </row>
    <row r="404" spans="2:4" ht="13.2">
      <c r="B404" s="14"/>
      <c r="D404" s="14"/>
    </row>
    <row r="405" spans="2:4" ht="13.2">
      <c r="B405" s="14"/>
      <c r="D405" s="14"/>
    </row>
    <row r="406" spans="2:4" ht="13.2">
      <c r="B406" s="14"/>
      <c r="D406" s="14"/>
    </row>
    <row r="407" spans="2:4" ht="13.2">
      <c r="B407" s="14"/>
      <c r="D407" s="14"/>
    </row>
    <row r="408" spans="2:4" ht="13.2">
      <c r="B408" s="14"/>
      <c r="D408" s="14"/>
    </row>
    <row r="409" spans="2:4" ht="13.2">
      <c r="B409" s="14"/>
      <c r="D409" s="14"/>
    </row>
    <row r="410" spans="2:4" ht="13.2">
      <c r="B410" s="14"/>
      <c r="D410" s="14"/>
    </row>
    <row r="411" spans="2:4" ht="13.2">
      <c r="B411" s="14"/>
      <c r="D411" s="14"/>
    </row>
    <row r="412" spans="2:4" ht="13.2">
      <c r="B412" s="14"/>
      <c r="D412" s="14"/>
    </row>
    <row r="413" spans="2:4" ht="13.2">
      <c r="B413" s="14"/>
      <c r="D413" s="14"/>
    </row>
    <row r="414" spans="2:4" ht="13.2">
      <c r="B414" s="14"/>
      <c r="D414" s="14"/>
    </row>
    <row r="415" spans="2:4" ht="13.2">
      <c r="B415" s="14"/>
      <c r="D415" s="14"/>
    </row>
    <row r="416" spans="2:4" ht="13.2">
      <c r="B416" s="14"/>
      <c r="D416" s="14"/>
    </row>
    <row r="417" spans="2:4" ht="13.2">
      <c r="B417" s="14"/>
      <c r="D417" s="14"/>
    </row>
    <row r="418" spans="2:4" ht="13.2">
      <c r="B418" s="14"/>
      <c r="D418" s="14"/>
    </row>
    <row r="419" spans="2:4" ht="13.2">
      <c r="B419" s="14"/>
      <c r="D419" s="14"/>
    </row>
    <row r="420" spans="2:4" ht="13.2">
      <c r="B420" s="14"/>
      <c r="D420" s="14"/>
    </row>
    <row r="421" spans="2:4" ht="13.2">
      <c r="B421" s="14"/>
      <c r="D421" s="14"/>
    </row>
    <row r="422" spans="2:4" ht="13.2">
      <c r="B422" s="14"/>
      <c r="D422" s="14"/>
    </row>
    <row r="423" spans="2:4" ht="13.2">
      <c r="B423" s="14"/>
      <c r="D423" s="14"/>
    </row>
    <row r="424" spans="2:4" ht="13.2">
      <c r="B424" s="14"/>
      <c r="D424" s="14"/>
    </row>
    <row r="425" spans="2:4" ht="13.2">
      <c r="B425" s="14"/>
      <c r="D425" s="14"/>
    </row>
    <row r="426" spans="2:4" ht="13.2">
      <c r="B426" s="14"/>
      <c r="D426" s="14"/>
    </row>
    <row r="427" spans="2:4" ht="13.2">
      <c r="B427" s="14"/>
      <c r="D427" s="14"/>
    </row>
    <row r="428" spans="2:4" ht="13.2">
      <c r="B428" s="14"/>
      <c r="D428" s="14"/>
    </row>
    <row r="429" spans="2:4" ht="13.2">
      <c r="B429" s="14"/>
      <c r="D429" s="14"/>
    </row>
    <row r="430" spans="2:4" ht="13.2">
      <c r="B430" s="14"/>
      <c r="D430" s="14"/>
    </row>
    <row r="431" spans="2:4" ht="13.2">
      <c r="B431" s="14"/>
      <c r="D431" s="14"/>
    </row>
    <row r="432" spans="2:4" ht="13.2">
      <c r="B432" s="14"/>
      <c r="D432" s="14"/>
    </row>
    <row r="433" spans="2:4" ht="13.2">
      <c r="B433" s="14"/>
      <c r="D433" s="14"/>
    </row>
    <row r="434" spans="2:4" ht="13.2">
      <c r="B434" s="14"/>
      <c r="D434" s="14"/>
    </row>
    <row r="435" spans="2:4" ht="13.2">
      <c r="B435" s="14"/>
      <c r="D435" s="14"/>
    </row>
    <row r="436" spans="2:4" ht="13.2">
      <c r="B436" s="14"/>
      <c r="D436" s="14"/>
    </row>
    <row r="437" spans="2:4" ht="13.2">
      <c r="B437" s="14"/>
      <c r="D437" s="14"/>
    </row>
    <row r="438" spans="2:4" ht="13.2">
      <c r="B438" s="14"/>
      <c r="D438" s="14"/>
    </row>
    <row r="439" spans="2:4" ht="13.2">
      <c r="B439" s="14"/>
      <c r="D439" s="14"/>
    </row>
    <row r="440" spans="2:4" ht="13.2">
      <c r="B440" s="14"/>
      <c r="D440" s="14"/>
    </row>
    <row r="441" spans="2:4" ht="13.2">
      <c r="B441" s="14"/>
      <c r="D441" s="14"/>
    </row>
    <row r="442" spans="2:4" ht="13.2">
      <c r="B442" s="14"/>
      <c r="D442" s="14"/>
    </row>
    <row r="443" spans="2:4" ht="13.2">
      <c r="B443" s="14"/>
      <c r="D443" s="14"/>
    </row>
    <row r="444" spans="2:4" ht="13.2">
      <c r="B444" s="14"/>
      <c r="D444" s="14"/>
    </row>
    <row r="445" spans="2:4" ht="13.2">
      <c r="B445" s="14"/>
      <c r="D445" s="14"/>
    </row>
    <row r="446" spans="2:4" ht="13.2">
      <c r="B446" s="14"/>
      <c r="D446" s="14"/>
    </row>
    <row r="447" spans="2:4" ht="13.2">
      <c r="B447" s="14"/>
      <c r="D447" s="14"/>
    </row>
    <row r="448" spans="2:4" ht="13.2">
      <c r="B448" s="14"/>
      <c r="D448" s="14"/>
    </row>
    <row r="449" spans="2:4" ht="13.2">
      <c r="B449" s="14"/>
      <c r="D449" s="14"/>
    </row>
    <row r="450" spans="2:4" ht="13.2">
      <c r="B450" s="14"/>
      <c r="D450" s="14"/>
    </row>
    <row r="451" spans="2:4" ht="13.2">
      <c r="B451" s="14"/>
      <c r="D451" s="14"/>
    </row>
    <row r="452" spans="2:4" ht="13.2">
      <c r="B452" s="14"/>
      <c r="D452" s="14"/>
    </row>
    <row r="453" spans="2:4" ht="13.2">
      <c r="B453" s="14"/>
      <c r="D453" s="14"/>
    </row>
    <row r="454" spans="2:4" ht="13.2">
      <c r="B454" s="14"/>
      <c r="D454" s="14"/>
    </row>
    <row r="455" spans="2:4" ht="13.2">
      <c r="B455" s="14"/>
      <c r="D455" s="14"/>
    </row>
    <row r="456" spans="2:4" ht="13.2">
      <c r="B456" s="14"/>
      <c r="D456" s="14"/>
    </row>
    <row r="457" spans="2:4" ht="13.2">
      <c r="B457" s="14"/>
      <c r="D457" s="14"/>
    </row>
    <row r="458" spans="2:4" ht="13.2">
      <c r="B458" s="14"/>
      <c r="D458" s="14"/>
    </row>
    <row r="459" spans="2:4" ht="13.2">
      <c r="B459" s="14"/>
      <c r="D459" s="14"/>
    </row>
    <row r="460" spans="2:4" ht="13.2">
      <c r="B460" s="14"/>
      <c r="D460" s="14"/>
    </row>
    <row r="461" spans="2:4" ht="13.2">
      <c r="B461" s="14"/>
      <c r="D461" s="14"/>
    </row>
    <row r="462" spans="2:4" ht="13.2">
      <c r="B462" s="14"/>
      <c r="D462" s="14"/>
    </row>
    <row r="463" spans="2:4" ht="13.2">
      <c r="B463" s="14"/>
      <c r="D463" s="14"/>
    </row>
    <row r="464" spans="2:4" ht="13.2">
      <c r="B464" s="14"/>
      <c r="D464" s="14"/>
    </row>
    <row r="465" spans="2:4" ht="13.2">
      <c r="B465" s="14"/>
      <c r="D465" s="14"/>
    </row>
    <row r="466" spans="2:4" ht="13.2">
      <c r="B466" s="14"/>
      <c r="D466" s="14"/>
    </row>
    <row r="467" spans="2:4" ht="13.2">
      <c r="B467" s="14"/>
      <c r="D467" s="14"/>
    </row>
    <row r="468" spans="2:4" ht="13.2">
      <c r="B468" s="14"/>
      <c r="D468" s="14"/>
    </row>
    <row r="469" spans="2:4" ht="13.2">
      <c r="B469" s="14"/>
      <c r="D469" s="14"/>
    </row>
    <row r="470" spans="2:4" ht="13.2">
      <c r="B470" s="14"/>
      <c r="D470" s="14"/>
    </row>
    <row r="471" spans="2:4" ht="13.2">
      <c r="B471" s="14"/>
      <c r="D471" s="14"/>
    </row>
    <row r="472" spans="2:4" ht="13.2">
      <c r="B472" s="14"/>
      <c r="D472" s="14"/>
    </row>
    <row r="473" spans="2:4" ht="13.2">
      <c r="B473" s="14"/>
      <c r="D473" s="14"/>
    </row>
    <row r="474" spans="2:4" ht="13.2">
      <c r="B474" s="14"/>
      <c r="D474" s="14"/>
    </row>
    <row r="475" spans="2:4" ht="13.2">
      <c r="B475" s="14"/>
      <c r="D475" s="14"/>
    </row>
    <row r="476" spans="2:4" ht="13.2">
      <c r="B476" s="14"/>
      <c r="D476" s="14"/>
    </row>
    <row r="477" spans="2:4" ht="13.2">
      <c r="B477" s="14"/>
      <c r="D477" s="14"/>
    </row>
    <row r="478" spans="2:4" ht="13.2">
      <c r="B478" s="14"/>
      <c r="D478" s="14"/>
    </row>
    <row r="479" spans="2:4" ht="13.2">
      <c r="B479" s="14"/>
      <c r="D479" s="14"/>
    </row>
    <row r="480" spans="2:4" ht="13.2">
      <c r="B480" s="14"/>
      <c r="D480" s="14"/>
    </row>
    <row r="481" spans="2:4" ht="13.2">
      <c r="B481" s="14"/>
      <c r="D481" s="14"/>
    </row>
    <row r="482" spans="2:4" ht="13.2">
      <c r="B482" s="14"/>
      <c r="D482" s="14"/>
    </row>
    <row r="483" spans="2:4" ht="13.2">
      <c r="B483" s="14"/>
      <c r="D483" s="14"/>
    </row>
    <row r="484" spans="2:4" ht="13.2">
      <c r="B484" s="14"/>
      <c r="D484" s="14"/>
    </row>
    <row r="485" spans="2:4" ht="13.2">
      <c r="B485" s="14"/>
      <c r="D485" s="14"/>
    </row>
    <row r="486" spans="2:4" ht="13.2">
      <c r="B486" s="14"/>
      <c r="D486" s="14"/>
    </row>
    <row r="487" spans="2:4" ht="13.2">
      <c r="B487" s="14"/>
      <c r="D487" s="14"/>
    </row>
    <row r="488" spans="2:4" ht="13.2">
      <c r="B488" s="14"/>
      <c r="D488" s="14"/>
    </row>
    <row r="489" spans="2:4" ht="13.2">
      <c r="B489" s="14"/>
      <c r="D489" s="14"/>
    </row>
    <row r="490" spans="2:4" ht="13.2">
      <c r="B490" s="14"/>
      <c r="D490" s="14"/>
    </row>
    <row r="491" spans="2:4" ht="13.2">
      <c r="B491" s="14"/>
      <c r="D491" s="14"/>
    </row>
    <row r="492" spans="2:4" ht="13.2">
      <c r="B492" s="14"/>
      <c r="D492" s="14"/>
    </row>
    <row r="493" spans="2:4" ht="13.2">
      <c r="B493" s="14"/>
      <c r="D493" s="14"/>
    </row>
    <row r="494" spans="2:4" ht="13.2">
      <c r="B494" s="14"/>
      <c r="D494" s="14"/>
    </row>
    <row r="495" spans="2:4" ht="13.2">
      <c r="B495" s="14"/>
      <c r="D495" s="14"/>
    </row>
    <row r="496" spans="2:4" ht="13.2">
      <c r="B496" s="14"/>
      <c r="D496" s="14"/>
    </row>
    <row r="497" spans="2:4" ht="13.2">
      <c r="B497" s="14"/>
      <c r="D497" s="14"/>
    </row>
    <row r="498" spans="2:4" ht="13.2">
      <c r="B498" s="14"/>
      <c r="D498" s="14"/>
    </row>
    <row r="499" spans="2:4" ht="13.2">
      <c r="B499" s="14"/>
      <c r="D499" s="14"/>
    </row>
    <row r="500" spans="2:4" ht="13.2">
      <c r="B500" s="14"/>
      <c r="D500" s="14"/>
    </row>
    <row r="501" spans="2:4" ht="13.2">
      <c r="B501" s="14"/>
      <c r="D501" s="14"/>
    </row>
    <row r="502" spans="2:4" ht="13.2">
      <c r="B502" s="14"/>
      <c r="D502" s="14"/>
    </row>
    <row r="503" spans="2:4" ht="13.2">
      <c r="B503" s="14"/>
      <c r="D503" s="14"/>
    </row>
    <row r="504" spans="2:4" ht="13.2">
      <c r="B504" s="14"/>
      <c r="D504" s="14"/>
    </row>
    <row r="505" spans="2:4" ht="13.2">
      <c r="B505" s="14"/>
      <c r="D505" s="14"/>
    </row>
    <row r="506" spans="2:4" ht="13.2">
      <c r="B506" s="14"/>
      <c r="D506" s="14"/>
    </row>
    <row r="507" spans="2:4" ht="13.2">
      <c r="B507" s="14"/>
      <c r="D507" s="14"/>
    </row>
    <row r="508" spans="2:4" ht="13.2">
      <c r="B508" s="14"/>
      <c r="D508" s="14"/>
    </row>
    <row r="509" spans="2:4" ht="13.2">
      <c r="B509" s="14"/>
      <c r="D509" s="14"/>
    </row>
    <row r="510" spans="2:4" ht="13.2">
      <c r="B510" s="14"/>
      <c r="D510" s="14"/>
    </row>
    <row r="511" spans="2:4" ht="13.2">
      <c r="B511" s="14"/>
      <c r="D511" s="14"/>
    </row>
    <row r="512" spans="2:4" ht="13.2">
      <c r="B512" s="14"/>
      <c r="D512" s="14"/>
    </row>
    <row r="513" spans="2:4" ht="13.2">
      <c r="B513" s="14"/>
      <c r="D513" s="14"/>
    </row>
    <row r="514" spans="2:4" ht="13.2">
      <c r="B514" s="14"/>
      <c r="D514" s="14"/>
    </row>
    <row r="515" spans="2:4" ht="13.2">
      <c r="B515" s="14"/>
      <c r="D515" s="14"/>
    </row>
    <row r="516" spans="2:4" ht="13.2">
      <c r="B516" s="14"/>
      <c r="D516" s="14"/>
    </row>
    <row r="517" spans="2:4" ht="13.2">
      <c r="B517" s="14"/>
      <c r="D517" s="14"/>
    </row>
    <row r="518" spans="2:4" ht="13.2">
      <c r="B518" s="14"/>
      <c r="D518" s="14"/>
    </row>
    <row r="519" spans="2:4" ht="13.2">
      <c r="B519" s="14"/>
      <c r="D519" s="14"/>
    </row>
    <row r="520" spans="2:4" ht="13.2">
      <c r="B520" s="14"/>
      <c r="D520" s="14"/>
    </row>
    <row r="521" spans="2:4" ht="13.2">
      <c r="B521" s="14"/>
      <c r="D521" s="14"/>
    </row>
    <row r="522" spans="2:4" ht="13.2">
      <c r="B522" s="14"/>
      <c r="D522" s="14"/>
    </row>
    <row r="523" spans="2:4" ht="13.2">
      <c r="B523" s="14"/>
      <c r="D523" s="14"/>
    </row>
    <row r="524" spans="2:4" ht="13.2">
      <c r="B524" s="14"/>
      <c r="D524" s="14"/>
    </row>
    <row r="525" spans="2:4" ht="13.2">
      <c r="B525" s="14"/>
      <c r="D525" s="14"/>
    </row>
    <row r="526" spans="2:4" ht="13.2">
      <c r="B526" s="14"/>
      <c r="D526" s="14"/>
    </row>
    <row r="527" spans="2:4" ht="13.2">
      <c r="B527" s="14"/>
      <c r="D527" s="14"/>
    </row>
    <row r="528" spans="2:4" ht="13.2">
      <c r="B528" s="14"/>
      <c r="D528" s="14"/>
    </row>
    <row r="529" spans="2:4" ht="13.2">
      <c r="B529" s="14"/>
      <c r="D529" s="14"/>
    </row>
    <row r="530" spans="2:4" ht="13.2">
      <c r="B530" s="14"/>
      <c r="D530" s="14"/>
    </row>
    <row r="531" spans="2:4" ht="13.2">
      <c r="B531" s="14"/>
      <c r="D531" s="14"/>
    </row>
    <row r="532" spans="2:4" ht="13.2">
      <c r="B532" s="14"/>
      <c r="D532" s="14"/>
    </row>
    <row r="533" spans="2:4" ht="13.2">
      <c r="B533" s="14"/>
      <c r="D533" s="14"/>
    </row>
    <row r="534" spans="2:4" ht="13.2">
      <c r="B534" s="14"/>
      <c r="D534" s="14"/>
    </row>
    <row r="535" spans="2:4" ht="13.2">
      <c r="B535" s="14"/>
      <c r="D535" s="14"/>
    </row>
    <row r="536" spans="2:4" ht="13.2">
      <c r="B536" s="14"/>
      <c r="D536" s="14"/>
    </row>
    <row r="537" spans="2:4" ht="13.2">
      <c r="B537" s="14"/>
      <c r="D537" s="14"/>
    </row>
    <row r="538" spans="2:4" ht="13.2">
      <c r="B538" s="14"/>
      <c r="D538" s="14"/>
    </row>
    <row r="539" spans="2:4" ht="13.2">
      <c r="B539" s="14"/>
      <c r="D539" s="14"/>
    </row>
    <row r="540" spans="2:4" ht="13.2">
      <c r="B540" s="14"/>
      <c r="D540" s="14"/>
    </row>
    <row r="541" spans="2:4" ht="13.2">
      <c r="B541" s="14"/>
      <c r="D541" s="14"/>
    </row>
    <row r="542" spans="2:4" ht="13.2">
      <c r="B542" s="14"/>
      <c r="D542" s="14"/>
    </row>
    <row r="543" spans="2:4" ht="13.2">
      <c r="B543" s="14"/>
      <c r="D543" s="14"/>
    </row>
    <row r="544" spans="2:4" ht="13.2">
      <c r="B544" s="14"/>
      <c r="D544" s="14"/>
    </row>
    <row r="545" spans="2:4" ht="13.2">
      <c r="B545" s="14"/>
      <c r="D545" s="14"/>
    </row>
    <row r="546" spans="2:4" ht="13.2">
      <c r="B546" s="14"/>
      <c r="D546" s="14"/>
    </row>
    <row r="547" spans="2:4" ht="13.2">
      <c r="B547" s="14"/>
      <c r="D547" s="14"/>
    </row>
    <row r="548" spans="2:4" ht="13.2">
      <c r="B548" s="14"/>
      <c r="D548" s="14"/>
    </row>
    <row r="549" spans="2:4" ht="13.2">
      <c r="B549" s="14"/>
      <c r="D549" s="14"/>
    </row>
    <row r="550" spans="2:4" ht="13.2">
      <c r="B550" s="14"/>
      <c r="D550" s="14"/>
    </row>
    <row r="551" spans="2:4" ht="13.2">
      <c r="B551" s="14"/>
      <c r="D551" s="14"/>
    </row>
    <row r="552" spans="2:4" ht="13.2">
      <c r="B552" s="14"/>
      <c r="D552" s="14"/>
    </row>
    <row r="553" spans="2:4" ht="13.2">
      <c r="B553" s="14"/>
      <c r="D553" s="14"/>
    </row>
    <row r="554" spans="2:4" ht="13.2">
      <c r="B554" s="14"/>
      <c r="D554" s="14"/>
    </row>
    <row r="555" spans="2:4" ht="13.2">
      <c r="B555" s="14"/>
      <c r="D555" s="14"/>
    </row>
    <row r="556" spans="2:4" ht="13.2">
      <c r="B556" s="14"/>
      <c r="D556" s="14"/>
    </row>
    <row r="557" spans="2:4" ht="13.2">
      <c r="B557" s="14"/>
      <c r="D557" s="14"/>
    </row>
    <row r="558" spans="2:4" ht="13.2">
      <c r="B558" s="14"/>
      <c r="D558" s="14"/>
    </row>
    <row r="559" spans="2:4" ht="13.2">
      <c r="B559" s="14"/>
      <c r="D559" s="14"/>
    </row>
    <row r="560" spans="2:4" ht="13.2">
      <c r="B560" s="14"/>
      <c r="D560" s="14"/>
    </row>
    <row r="561" spans="2:4" ht="13.2">
      <c r="B561" s="14"/>
      <c r="D561" s="14"/>
    </row>
    <row r="562" spans="2:4" ht="13.2">
      <c r="B562" s="14"/>
      <c r="D562" s="14"/>
    </row>
    <row r="563" spans="2:4" ht="13.2">
      <c r="B563" s="14"/>
      <c r="D563" s="14"/>
    </row>
    <row r="564" spans="2:4" ht="13.2">
      <c r="B564" s="14"/>
      <c r="D564" s="14"/>
    </row>
    <row r="565" spans="2:4" ht="13.2">
      <c r="B565" s="14"/>
      <c r="D565" s="14"/>
    </row>
    <row r="566" spans="2:4" ht="13.2">
      <c r="B566" s="14"/>
      <c r="D566" s="14"/>
    </row>
    <row r="567" spans="2:4" ht="13.2">
      <c r="B567" s="14"/>
      <c r="D567" s="14"/>
    </row>
    <row r="568" spans="2:4" ht="13.2">
      <c r="B568" s="14"/>
      <c r="D568" s="14"/>
    </row>
    <row r="569" spans="2:4" ht="13.2">
      <c r="B569" s="14"/>
      <c r="D569" s="14"/>
    </row>
    <row r="570" spans="2:4" ht="13.2">
      <c r="B570" s="14"/>
      <c r="D570" s="14"/>
    </row>
    <row r="571" spans="2:4" ht="13.2">
      <c r="B571" s="14"/>
      <c r="D571" s="14"/>
    </row>
    <row r="572" spans="2:4" ht="13.2">
      <c r="B572" s="14"/>
      <c r="D572" s="14"/>
    </row>
    <row r="573" spans="2:4" ht="13.2">
      <c r="B573" s="14"/>
      <c r="D573" s="14"/>
    </row>
    <row r="574" spans="2:4" ht="13.2">
      <c r="B574" s="14"/>
      <c r="D574" s="14"/>
    </row>
    <row r="575" spans="2:4" ht="13.2">
      <c r="B575" s="14"/>
      <c r="D575" s="14"/>
    </row>
    <row r="576" spans="2:4" ht="13.2">
      <c r="B576" s="14"/>
      <c r="D576" s="14"/>
    </row>
    <row r="577" spans="2:4" ht="13.2">
      <c r="B577" s="14"/>
      <c r="D577" s="14"/>
    </row>
    <row r="578" spans="2:4" ht="13.2">
      <c r="B578" s="14"/>
      <c r="D578" s="14"/>
    </row>
    <row r="579" spans="2:4" ht="13.2">
      <c r="B579" s="14"/>
      <c r="D579" s="14"/>
    </row>
    <row r="580" spans="2:4" ht="13.2">
      <c r="B580" s="14"/>
      <c r="D580" s="14"/>
    </row>
    <row r="581" spans="2:4" ht="13.2">
      <c r="B581" s="14"/>
      <c r="D581" s="14"/>
    </row>
    <row r="582" spans="2:4" ht="13.2">
      <c r="B582" s="14"/>
      <c r="D582" s="14"/>
    </row>
    <row r="583" spans="2:4" ht="13.2">
      <c r="B583" s="14"/>
      <c r="D583" s="14"/>
    </row>
    <row r="584" spans="2:4" ht="13.2">
      <c r="B584" s="14"/>
      <c r="D584" s="14"/>
    </row>
    <row r="585" spans="2:4" ht="13.2">
      <c r="B585" s="14"/>
      <c r="D585" s="14"/>
    </row>
    <row r="586" spans="2:4" ht="13.2">
      <c r="B586" s="14"/>
      <c r="D586" s="14"/>
    </row>
    <row r="587" spans="2:4" ht="13.2">
      <c r="B587" s="14"/>
      <c r="D587" s="14"/>
    </row>
    <row r="588" spans="2:4" ht="13.2">
      <c r="B588" s="14"/>
      <c r="D588" s="14"/>
    </row>
    <row r="589" spans="2:4" ht="13.2">
      <c r="B589" s="14"/>
      <c r="D589" s="14"/>
    </row>
    <row r="590" spans="2:4" ht="13.2">
      <c r="B590" s="14"/>
      <c r="D590" s="14"/>
    </row>
    <row r="591" spans="2:4" ht="13.2">
      <c r="B591" s="14"/>
      <c r="D591" s="14"/>
    </row>
    <row r="592" spans="2:4" ht="13.2">
      <c r="B592" s="14"/>
      <c r="D592" s="14"/>
    </row>
    <row r="593" spans="2:4" ht="13.2">
      <c r="B593" s="14"/>
      <c r="D593" s="14"/>
    </row>
    <row r="594" spans="2:4" ht="13.2">
      <c r="B594" s="14"/>
      <c r="D594" s="14"/>
    </row>
    <row r="595" spans="2:4" ht="13.2">
      <c r="B595" s="14"/>
      <c r="D595" s="14"/>
    </row>
    <row r="596" spans="2:4" ht="13.2">
      <c r="B596" s="14"/>
      <c r="D596" s="14"/>
    </row>
    <row r="597" spans="2:4" ht="13.2">
      <c r="B597" s="14"/>
      <c r="D597" s="14"/>
    </row>
    <row r="598" spans="2:4" ht="13.2">
      <c r="B598" s="14"/>
      <c r="D598" s="14"/>
    </row>
    <row r="599" spans="2:4" ht="13.2">
      <c r="B599" s="14"/>
      <c r="D599" s="14"/>
    </row>
    <row r="600" spans="2:4" ht="13.2">
      <c r="B600" s="14"/>
      <c r="D600" s="14"/>
    </row>
    <row r="601" spans="2:4" ht="13.2">
      <c r="B601" s="14"/>
      <c r="D601" s="14"/>
    </row>
    <row r="602" spans="2:4" ht="13.2">
      <c r="B602" s="14"/>
      <c r="D602" s="14"/>
    </row>
    <row r="603" spans="2:4" ht="13.2">
      <c r="B603" s="14"/>
      <c r="D603" s="14"/>
    </row>
    <row r="604" spans="2:4" ht="13.2">
      <c r="B604" s="14"/>
      <c r="D604" s="14"/>
    </row>
    <row r="605" spans="2:4" ht="13.2">
      <c r="B605" s="14"/>
      <c r="D605" s="14"/>
    </row>
    <row r="606" spans="2:4" ht="13.2">
      <c r="B606" s="14"/>
      <c r="D606" s="14"/>
    </row>
    <row r="607" spans="2:4" ht="13.2">
      <c r="B607" s="14"/>
      <c r="D607" s="14"/>
    </row>
    <row r="608" spans="2:4" ht="13.2">
      <c r="B608" s="14"/>
      <c r="D608" s="14"/>
    </row>
    <row r="609" spans="2:4" ht="13.2">
      <c r="B609" s="14"/>
      <c r="D609" s="14"/>
    </row>
    <row r="610" spans="2:4" ht="13.2">
      <c r="B610" s="14"/>
      <c r="D610" s="14"/>
    </row>
    <row r="611" spans="2:4" ht="13.2">
      <c r="B611" s="14"/>
      <c r="D611" s="14"/>
    </row>
    <row r="612" spans="2:4" ht="13.2">
      <c r="B612" s="14"/>
      <c r="D612" s="14"/>
    </row>
    <row r="613" spans="2:4" ht="13.2">
      <c r="B613" s="14"/>
      <c r="D613" s="14"/>
    </row>
    <row r="614" spans="2:4" ht="13.2">
      <c r="B614" s="14"/>
      <c r="D614" s="14"/>
    </row>
    <row r="615" spans="2:4" ht="13.2">
      <c r="B615" s="14"/>
      <c r="D615" s="14"/>
    </row>
    <row r="616" spans="2:4" ht="13.2">
      <c r="B616" s="14"/>
      <c r="D616" s="14"/>
    </row>
    <row r="617" spans="2:4" ht="13.2">
      <c r="B617" s="14"/>
      <c r="D617" s="14"/>
    </row>
    <row r="618" spans="2:4" ht="13.2">
      <c r="B618" s="14"/>
      <c r="D618" s="14"/>
    </row>
    <row r="619" spans="2:4" ht="13.2">
      <c r="B619" s="14"/>
      <c r="D619" s="14"/>
    </row>
    <row r="620" spans="2:4" ht="13.2">
      <c r="B620" s="14"/>
      <c r="D620" s="14"/>
    </row>
    <row r="621" spans="2:4" ht="13.2">
      <c r="B621" s="14"/>
      <c r="D621" s="14"/>
    </row>
    <row r="622" spans="2:4" ht="13.2">
      <c r="B622" s="14"/>
      <c r="D622" s="14"/>
    </row>
    <row r="623" spans="2:4" ht="13.2">
      <c r="B623" s="14"/>
      <c r="D623" s="14"/>
    </row>
    <row r="624" spans="2:4" ht="13.2">
      <c r="B624" s="14"/>
      <c r="D624" s="14"/>
    </row>
    <row r="625" spans="2:4" ht="13.2">
      <c r="B625" s="14"/>
      <c r="D625" s="14"/>
    </row>
    <row r="626" spans="2:4" ht="13.2">
      <c r="B626" s="14"/>
      <c r="D626" s="14"/>
    </row>
    <row r="627" spans="2:4" ht="13.2">
      <c r="B627" s="14"/>
      <c r="D627" s="14"/>
    </row>
    <row r="628" spans="2:4" ht="13.2">
      <c r="B628" s="14"/>
      <c r="D628" s="14"/>
    </row>
    <row r="629" spans="2:4" ht="13.2">
      <c r="B629" s="14"/>
      <c r="D629" s="14"/>
    </row>
    <row r="630" spans="2:4" ht="13.2">
      <c r="B630" s="14"/>
      <c r="D630" s="14"/>
    </row>
    <row r="631" spans="2:4" ht="13.2">
      <c r="B631" s="14"/>
      <c r="D631" s="14"/>
    </row>
    <row r="632" spans="2:4" ht="13.2">
      <c r="B632" s="14"/>
      <c r="D632" s="14"/>
    </row>
    <row r="633" spans="2:4" ht="13.2">
      <c r="B633" s="14"/>
      <c r="D633" s="14"/>
    </row>
    <row r="634" spans="2:4" ht="13.2">
      <c r="B634" s="14"/>
      <c r="D634" s="14"/>
    </row>
    <row r="635" spans="2:4" ht="13.2">
      <c r="B635" s="14"/>
      <c r="D635" s="14"/>
    </row>
    <row r="636" spans="2:4" ht="13.2">
      <c r="B636" s="14"/>
      <c r="D636" s="14"/>
    </row>
    <row r="637" spans="2:4" ht="13.2">
      <c r="B637" s="14"/>
      <c r="D637" s="14"/>
    </row>
    <row r="638" spans="2:4" ht="13.2">
      <c r="B638" s="14"/>
      <c r="D638" s="14"/>
    </row>
    <row r="639" spans="2:4" ht="13.2">
      <c r="B639" s="14"/>
      <c r="D639" s="14"/>
    </row>
    <row r="640" spans="2:4" ht="13.2">
      <c r="B640" s="14"/>
      <c r="D640" s="14"/>
    </row>
    <row r="641" spans="2:4" ht="13.2">
      <c r="B641" s="14"/>
      <c r="D641" s="14"/>
    </row>
    <row r="642" spans="2:4" ht="13.2">
      <c r="B642" s="14"/>
      <c r="D642" s="14"/>
    </row>
    <row r="643" spans="2:4" ht="13.2">
      <c r="B643" s="14"/>
      <c r="D643" s="14"/>
    </row>
    <row r="644" spans="2:4" ht="13.2">
      <c r="B644" s="14"/>
      <c r="D644" s="14"/>
    </row>
    <row r="645" spans="2:4" ht="13.2">
      <c r="B645" s="14"/>
      <c r="D645" s="14"/>
    </row>
    <row r="646" spans="2:4" ht="13.2">
      <c r="B646" s="14"/>
      <c r="D646" s="14"/>
    </row>
    <row r="647" spans="2:4" ht="13.2">
      <c r="B647" s="14"/>
      <c r="D647" s="14"/>
    </row>
    <row r="648" spans="2:4" ht="13.2">
      <c r="B648" s="14"/>
      <c r="D648" s="14"/>
    </row>
    <row r="649" spans="2:4" ht="13.2">
      <c r="B649" s="14"/>
      <c r="D649" s="14"/>
    </row>
    <row r="650" spans="2:4" ht="13.2">
      <c r="B650" s="14"/>
      <c r="D650" s="14"/>
    </row>
    <row r="651" spans="2:4" ht="13.2">
      <c r="B651" s="14"/>
      <c r="D651" s="14"/>
    </row>
    <row r="652" spans="2:4" ht="13.2">
      <c r="B652" s="14"/>
      <c r="D652" s="14"/>
    </row>
    <row r="653" spans="2:4" ht="13.2">
      <c r="B653" s="14"/>
      <c r="D653" s="14"/>
    </row>
    <row r="654" spans="2:4" ht="13.2">
      <c r="B654" s="14"/>
      <c r="D654" s="14"/>
    </row>
    <row r="655" spans="2:4" ht="13.2">
      <c r="B655" s="14"/>
      <c r="D655" s="14"/>
    </row>
    <row r="656" spans="2:4" ht="13.2">
      <c r="B656" s="14"/>
      <c r="D656" s="14"/>
    </row>
    <row r="657" spans="2:4" ht="13.2">
      <c r="B657" s="14"/>
      <c r="D657" s="14"/>
    </row>
    <row r="658" spans="2:4" ht="13.2">
      <c r="B658" s="14"/>
      <c r="D658" s="14"/>
    </row>
    <row r="659" spans="2:4" ht="13.2">
      <c r="B659" s="14"/>
      <c r="D659" s="14"/>
    </row>
    <row r="660" spans="2:4" ht="13.2">
      <c r="B660" s="14"/>
      <c r="D660" s="14"/>
    </row>
    <row r="661" spans="2:4" ht="13.2">
      <c r="B661" s="14"/>
      <c r="D661" s="14"/>
    </row>
    <row r="662" spans="2:4" ht="13.2">
      <c r="B662" s="14"/>
      <c r="D662" s="14"/>
    </row>
    <row r="663" spans="2:4" ht="13.2">
      <c r="B663" s="14"/>
      <c r="D663" s="14"/>
    </row>
    <row r="664" spans="2:4" ht="13.2">
      <c r="B664" s="14"/>
      <c r="D664" s="14"/>
    </row>
    <row r="665" spans="2:4" ht="13.2">
      <c r="B665" s="14"/>
      <c r="D665" s="14"/>
    </row>
    <row r="666" spans="2:4" ht="13.2">
      <c r="B666" s="14"/>
      <c r="D666" s="14"/>
    </row>
    <row r="667" spans="2:4" ht="13.2">
      <c r="B667" s="14"/>
      <c r="D667" s="14"/>
    </row>
    <row r="668" spans="2:4" ht="13.2">
      <c r="B668" s="14"/>
      <c r="D668" s="14"/>
    </row>
    <row r="669" spans="2:4" ht="13.2">
      <c r="B669" s="14"/>
      <c r="D669" s="14"/>
    </row>
    <row r="670" spans="2:4" ht="13.2">
      <c r="B670" s="14"/>
      <c r="D670" s="14"/>
    </row>
    <row r="671" spans="2:4" ht="13.2">
      <c r="B671" s="14"/>
      <c r="D671" s="14"/>
    </row>
    <row r="672" spans="2:4" ht="13.2">
      <c r="B672" s="14"/>
      <c r="D672" s="14"/>
    </row>
    <row r="673" spans="2:4" ht="13.2">
      <c r="B673" s="14"/>
      <c r="D673" s="14"/>
    </row>
    <row r="674" spans="2:4" ht="13.2">
      <c r="B674" s="14"/>
      <c r="D674" s="14"/>
    </row>
    <row r="675" spans="2:4" ht="13.2">
      <c r="B675" s="14"/>
      <c r="D675" s="14"/>
    </row>
    <row r="676" spans="2:4" ht="13.2">
      <c r="B676" s="14"/>
      <c r="D676" s="14"/>
    </row>
    <row r="677" spans="2:4" ht="13.2">
      <c r="B677" s="14"/>
      <c r="D677" s="14"/>
    </row>
    <row r="678" spans="2:4" ht="13.2">
      <c r="B678" s="14"/>
      <c r="D678" s="14"/>
    </row>
    <row r="679" spans="2:4" ht="13.2">
      <c r="B679" s="14"/>
      <c r="D679" s="14"/>
    </row>
    <row r="680" spans="2:4" ht="13.2">
      <c r="B680" s="14"/>
      <c r="D680" s="14"/>
    </row>
    <row r="681" spans="2:4" ht="13.2">
      <c r="B681" s="14"/>
      <c r="D681" s="14"/>
    </row>
    <row r="682" spans="2:4" ht="13.2">
      <c r="B682" s="14"/>
      <c r="D682" s="14"/>
    </row>
    <row r="683" spans="2:4" ht="13.2">
      <c r="B683" s="14"/>
      <c r="D683" s="14"/>
    </row>
    <row r="684" spans="2:4" ht="13.2">
      <c r="B684" s="14"/>
      <c r="D684" s="14"/>
    </row>
    <row r="685" spans="2:4" ht="13.2">
      <c r="B685" s="14"/>
      <c r="D685" s="14"/>
    </row>
    <row r="686" spans="2:4" ht="13.2">
      <c r="B686" s="14"/>
      <c r="D686" s="14"/>
    </row>
    <row r="687" spans="2:4" ht="13.2">
      <c r="B687" s="14"/>
      <c r="D687" s="14"/>
    </row>
    <row r="688" spans="2:4" ht="13.2">
      <c r="B688" s="14"/>
      <c r="D688" s="14"/>
    </row>
    <row r="689" spans="2:4" ht="13.2">
      <c r="B689" s="14"/>
      <c r="D689" s="14"/>
    </row>
    <row r="690" spans="2:4" ht="13.2">
      <c r="B690" s="14"/>
      <c r="D690" s="14"/>
    </row>
    <row r="691" spans="2:4" ht="13.2">
      <c r="B691" s="14"/>
      <c r="D691" s="14"/>
    </row>
    <row r="692" spans="2:4" ht="13.2">
      <c r="B692" s="14"/>
      <c r="D692" s="14"/>
    </row>
    <row r="693" spans="2:4" ht="13.2">
      <c r="B693" s="14"/>
      <c r="D693" s="14"/>
    </row>
    <row r="694" spans="2:4" ht="13.2">
      <c r="B694" s="14"/>
      <c r="D694" s="14"/>
    </row>
    <row r="695" spans="2:4" ht="13.2">
      <c r="B695" s="14"/>
      <c r="D695" s="14"/>
    </row>
    <row r="696" spans="2:4" ht="13.2">
      <c r="B696" s="14"/>
      <c r="D696" s="14"/>
    </row>
    <row r="697" spans="2:4" ht="13.2">
      <c r="B697" s="14"/>
      <c r="D697" s="14"/>
    </row>
    <row r="698" spans="2:4" ht="13.2">
      <c r="B698" s="14"/>
      <c r="D698" s="14"/>
    </row>
    <row r="699" spans="2:4" ht="13.2">
      <c r="B699" s="14"/>
      <c r="D699" s="14"/>
    </row>
    <row r="700" spans="2:4" ht="13.2">
      <c r="B700" s="14"/>
      <c r="D700" s="14"/>
    </row>
    <row r="701" spans="2:4" ht="13.2">
      <c r="B701" s="14"/>
      <c r="D701" s="14"/>
    </row>
    <row r="702" spans="2:4" ht="13.2">
      <c r="B702" s="14"/>
      <c r="D702" s="14"/>
    </row>
    <row r="703" spans="2:4" ht="13.2">
      <c r="B703" s="14"/>
      <c r="D703" s="14"/>
    </row>
    <row r="704" spans="2:4" ht="13.2">
      <c r="B704" s="14"/>
      <c r="D704" s="14"/>
    </row>
    <row r="705" spans="2:4" ht="13.2">
      <c r="B705" s="14"/>
      <c r="D705" s="14"/>
    </row>
    <row r="706" spans="2:4" ht="13.2">
      <c r="B706" s="14"/>
      <c r="D706" s="14"/>
    </row>
    <row r="707" spans="2:4" ht="13.2">
      <c r="B707" s="14"/>
      <c r="D707" s="14"/>
    </row>
    <row r="708" spans="2:4" ht="13.2">
      <c r="B708" s="14"/>
      <c r="D708" s="14"/>
    </row>
    <row r="709" spans="2:4" ht="13.2">
      <c r="B709" s="14"/>
      <c r="D709" s="14"/>
    </row>
    <row r="710" spans="2:4" ht="13.2">
      <c r="B710" s="14"/>
      <c r="D710" s="14"/>
    </row>
    <row r="711" spans="2:4" ht="13.2">
      <c r="B711" s="14"/>
      <c r="D711" s="14"/>
    </row>
    <row r="712" spans="2:4" ht="13.2">
      <c r="B712" s="14"/>
      <c r="D712" s="14"/>
    </row>
    <row r="713" spans="2:4" ht="13.2">
      <c r="B713" s="14"/>
      <c r="D713" s="14"/>
    </row>
    <row r="714" spans="2:4" ht="13.2">
      <c r="B714" s="14"/>
      <c r="D714" s="14"/>
    </row>
    <row r="715" spans="2:4" ht="13.2">
      <c r="B715" s="14"/>
      <c r="D715" s="14"/>
    </row>
    <row r="716" spans="2:4" ht="13.2">
      <c r="B716" s="14"/>
      <c r="D716" s="14"/>
    </row>
    <row r="717" spans="2:4" ht="13.2">
      <c r="B717" s="14"/>
      <c r="D717" s="14"/>
    </row>
    <row r="718" spans="2:4" ht="13.2">
      <c r="B718" s="14"/>
      <c r="D718" s="14"/>
    </row>
    <row r="719" spans="2:4" ht="13.2">
      <c r="B719" s="14"/>
      <c r="D719" s="14"/>
    </row>
    <row r="720" spans="2:4" ht="13.2">
      <c r="B720" s="14"/>
      <c r="D720" s="14"/>
    </row>
    <row r="721" spans="2:4" ht="13.2">
      <c r="B721" s="14"/>
      <c r="D721" s="14"/>
    </row>
    <row r="722" spans="2:4" ht="13.2">
      <c r="B722" s="14"/>
      <c r="D722" s="14"/>
    </row>
    <row r="723" spans="2:4" ht="13.2">
      <c r="B723" s="14"/>
      <c r="D723" s="14"/>
    </row>
    <row r="724" spans="2:4" ht="13.2">
      <c r="B724" s="14"/>
      <c r="D724" s="14"/>
    </row>
    <row r="725" spans="2:4" ht="13.2">
      <c r="B725" s="14"/>
      <c r="D725" s="14"/>
    </row>
    <row r="726" spans="2:4" ht="13.2">
      <c r="B726" s="14"/>
      <c r="D726" s="14"/>
    </row>
    <row r="727" spans="2:4" ht="13.2">
      <c r="B727" s="14"/>
      <c r="D727" s="14"/>
    </row>
    <row r="728" spans="2:4" ht="13.2">
      <c r="B728" s="14"/>
      <c r="D728" s="14"/>
    </row>
    <row r="729" spans="2:4" ht="13.2">
      <c r="B729" s="14"/>
      <c r="D729" s="14"/>
    </row>
    <row r="730" spans="2:4" ht="13.2">
      <c r="B730" s="14"/>
      <c r="D730" s="14"/>
    </row>
    <row r="731" spans="2:4" ht="13.2">
      <c r="B731" s="14"/>
      <c r="D731" s="14"/>
    </row>
    <row r="732" spans="2:4" ht="13.2">
      <c r="B732" s="14"/>
      <c r="D732" s="14"/>
    </row>
    <row r="733" spans="2:4" ht="13.2">
      <c r="B733" s="14"/>
      <c r="D733" s="14"/>
    </row>
    <row r="734" spans="2:4" ht="13.2">
      <c r="B734" s="14"/>
      <c r="D734" s="14"/>
    </row>
    <row r="735" spans="2:4" ht="13.2">
      <c r="B735" s="14"/>
      <c r="D735" s="14"/>
    </row>
    <row r="736" spans="2:4" ht="13.2">
      <c r="B736" s="14"/>
      <c r="D736" s="14"/>
    </row>
    <row r="737" spans="2:4" ht="13.2">
      <c r="B737" s="14"/>
      <c r="D737" s="14"/>
    </row>
    <row r="738" spans="2:4" ht="13.2">
      <c r="B738" s="14"/>
      <c r="D738" s="14"/>
    </row>
    <row r="739" spans="2:4" ht="13.2">
      <c r="B739" s="14"/>
      <c r="D739" s="14"/>
    </row>
    <row r="740" spans="2:4" ht="13.2">
      <c r="B740" s="14"/>
      <c r="D740" s="14"/>
    </row>
    <row r="741" spans="2:4" ht="13.2">
      <c r="B741" s="14"/>
      <c r="D741" s="14"/>
    </row>
    <row r="742" spans="2:4" ht="13.2">
      <c r="B742" s="14"/>
      <c r="D742" s="14"/>
    </row>
    <row r="743" spans="2:4" ht="13.2">
      <c r="B743" s="14"/>
      <c r="D743" s="14"/>
    </row>
    <row r="744" spans="2:4" ht="13.2">
      <c r="B744" s="14"/>
      <c r="D744" s="14"/>
    </row>
    <row r="745" spans="2:4" ht="13.2">
      <c r="B745" s="14"/>
      <c r="D745" s="14"/>
    </row>
    <row r="746" spans="2:4" ht="13.2">
      <c r="B746" s="14"/>
      <c r="D746" s="14"/>
    </row>
    <row r="747" spans="2:4" ht="13.2">
      <c r="B747" s="14"/>
      <c r="D747" s="14"/>
    </row>
    <row r="748" spans="2:4" ht="13.2">
      <c r="B748" s="14"/>
      <c r="D748" s="14"/>
    </row>
    <row r="749" spans="2:4" ht="13.2">
      <c r="B749" s="14"/>
      <c r="D749" s="14"/>
    </row>
    <row r="750" spans="2:4" ht="13.2">
      <c r="B750" s="14"/>
      <c r="D750" s="14"/>
    </row>
    <row r="751" spans="2:4" ht="13.2">
      <c r="B751" s="14"/>
      <c r="D751" s="14"/>
    </row>
    <row r="752" spans="2:4" ht="13.2">
      <c r="B752" s="14"/>
      <c r="D752" s="14"/>
    </row>
    <row r="753" spans="2:4" ht="13.2">
      <c r="B753" s="14"/>
      <c r="D753" s="14"/>
    </row>
    <row r="754" spans="2:4" ht="13.2">
      <c r="B754" s="14"/>
      <c r="D754" s="14"/>
    </row>
    <row r="755" spans="2:4" ht="13.2">
      <c r="B755" s="14"/>
      <c r="D755" s="14"/>
    </row>
    <row r="756" spans="2:4" ht="13.2">
      <c r="B756" s="14"/>
      <c r="D756" s="14"/>
    </row>
    <row r="757" spans="2:4" ht="13.2">
      <c r="B757" s="14"/>
      <c r="D757" s="14"/>
    </row>
    <row r="758" spans="2:4" ht="13.2">
      <c r="B758" s="14"/>
      <c r="D758" s="14"/>
    </row>
    <row r="759" spans="2:4" ht="13.2">
      <c r="B759" s="14"/>
      <c r="D759" s="14"/>
    </row>
    <row r="760" spans="2:4" ht="13.2">
      <c r="B760" s="14"/>
      <c r="D760" s="14"/>
    </row>
    <row r="761" spans="2:4" ht="13.2">
      <c r="B761" s="14"/>
      <c r="D761" s="14"/>
    </row>
    <row r="762" spans="2:4" ht="13.2">
      <c r="B762" s="14"/>
      <c r="D762" s="14"/>
    </row>
    <row r="763" spans="2:4" ht="13.2">
      <c r="B763" s="14"/>
      <c r="D763" s="14"/>
    </row>
    <row r="764" spans="2:4" ht="13.2">
      <c r="B764" s="14"/>
      <c r="D764" s="14"/>
    </row>
    <row r="765" spans="2:4" ht="13.2">
      <c r="B765" s="14"/>
      <c r="D765" s="14"/>
    </row>
    <row r="766" spans="2:4" ht="13.2">
      <c r="B766" s="14"/>
      <c r="D766" s="14"/>
    </row>
    <row r="767" spans="2:4" ht="13.2">
      <c r="B767" s="14"/>
      <c r="D767" s="14"/>
    </row>
    <row r="768" spans="2:4" ht="13.2">
      <c r="B768" s="14"/>
      <c r="D768" s="14"/>
    </row>
    <row r="769" spans="2:4" ht="13.2">
      <c r="B769" s="14"/>
      <c r="D769" s="14"/>
    </row>
    <row r="770" spans="2:4" ht="13.2">
      <c r="B770" s="14"/>
      <c r="D770" s="14"/>
    </row>
    <row r="771" spans="2:4" ht="13.2">
      <c r="B771" s="14"/>
      <c r="D771" s="14"/>
    </row>
    <row r="772" spans="2:4" ht="13.2">
      <c r="B772" s="14"/>
      <c r="D772" s="14"/>
    </row>
    <row r="773" spans="2:4" ht="13.2">
      <c r="B773" s="14"/>
      <c r="D773" s="14"/>
    </row>
    <row r="774" spans="2:4" ht="13.2">
      <c r="B774" s="14"/>
      <c r="D774" s="14"/>
    </row>
    <row r="775" spans="2:4" ht="13.2">
      <c r="B775" s="14"/>
      <c r="D775" s="14"/>
    </row>
    <row r="776" spans="2:4" ht="13.2">
      <c r="B776" s="14"/>
      <c r="D776" s="14"/>
    </row>
    <row r="777" spans="2:4" ht="13.2">
      <c r="B777" s="14"/>
      <c r="D777" s="14"/>
    </row>
    <row r="778" spans="2:4" ht="13.2">
      <c r="B778" s="14"/>
      <c r="D778" s="14"/>
    </row>
    <row r="779" spans="2:4" ht="13.2">
      <c r="B779" s="14"/>
      <c r="D779" s="14"/>
    </row>
    <row r="780" spans="2:4" ht="13.2">
      <c r="B780" s="14"/>
      <c r="D780" s="14"/>
    </row>
    <row r="781" spans="2:4" ht="13.2">
      <c r="B781" s="14"/>
      <c r="D781" s="14"/>
    </row>
    <row r="782" spans="2:4" ht="13.2">
      <c r="B782" s="14"/>
      <c r="D782" s="14"/>
    </row>
    <row r="783" spans="2:4" ht="13.2">
      <c r="B783" s="14"/>
      <c r="D783" s="14"/>
    </row>
    <row r="784" spans="2:4" ht="13.2">
      <c r="B784" s="14"/>
      <c r="D784" s="14"/>
    </row>
    <row r="785" spans="2:4" ht="13.2">
      <c r="B785" s="14"/>
      <c r="D785" s="14"/>
    </row>
    <row r="786" spans="2:4" ht="13.2">
      <c r="B786" s="14"/>
      <c r="D786" s="14"/>
    </row>
    <row r="787" spans="2:4" ht="13.2">
      <c r="B787" s="14"/>
      <c r="D787" s="14"/>
    </row>
    <row r="788" spans="2:4" ht="13.2">
      <c r="B788" s="14"/>
      <c r="D788" s="14"/>
    </row>
    <row r="789" spans="2:4" ht="13.2">
      <c r="B789" s="14"/>
      <c r="D789" s="14"/>
    </row>
    <row r="790" spans="2:4" ht="13.2">
      <c r="B790" s="14"/>
      <c r="D790" s="14"/>
    </row>
    <row r="791" spans="2:4" ht="13.2">
      <c r="B791" s="14"/>
      <c r="D791" s="14"/>
    </row>
    <row r="792" spans="2:4" ht="13.2">
      <c r="B792" s="14"/>
      <c r="D792" s="14"/>
    </row>
    <row r="793" spans="2:4" ht="13.2">
      <c r="B793" s="14"/>
      <c r="D793" s="14"/>
    </row>
    <row r="794" spans="2:4" ht="13.2">
      <c r="B794" s="14"/>
      <c r="D794" s="14"/>
    </row>
    <row r="795" spans="2:4" ht="13.2">
      <c r="B795" s="14"/>
      <c r="D795" s="14"/>
    </row>
    <row r="796" spans="2:4" ht="13.2">
      <c r="B796" s="14"/>
      <c r="D796" s="14"/>
    </row>
    <row r="797" spans="2:4" ht="13.2">
      <c r="B797" s="14"/>
      <c r="D797" s="14"/>
    </row>
    <row r="798" spans="2:4" ht="13.2">
      <c r="B798" s="14"/>
      <c r="D798" s="14"/>
    </row>
    <row r="799" spans="2:4" ht="13.2">
      <c r="B799" s="14"/>
      <c r="D799" s="14"/>
    </row>
    <row r="800" spans="2:4" ht="13.2">
      <c r="B800" s="14"/>
      <c r="D800" s="14"/>
    </row>
    <row r="801" spans="2:4" ht="13.2">
      <c r="B801" s="14"/>
      <c r="D801" s="14"/>
    </row>
    <row r="802" spans="2:4" ht="13.2">
      <c r="B802" s="14"/>
      <c r="D802" s="14"/>
    </row>
    <row r="803" spans="2:4" ht="13.2">
      <c r="B803" s="14"/>
      <c r="D803" s="14"/>
    </row>
    <row r="804" spans="2:4" ht="13.2">
      <c r="B804" s="14"/>
      <c r="D804" s="14"/>
    </row>
    <row r="805" spans="2:4" ht="13.2">
      <c r="B805" s="14"/>
      <c r="D805" s="14"/>
    </row>
    <row r="806" spans="2:4" ht="13.2">
      <c r="B806" s="14"/>
      <c r="D806" s="14"/>
    </row>
    <row r="807" spans="2:4" ht="13.2">
      <c r="B807" s="14"/>
      <c r="D807" s="14"/>
    </row>
    <row r="808" spans="2:4" ht="13.2">
      <c r="B808" s="14"/>
      <c r="D808" s="14"/>
    </row>
    <row r="809" spans="2:4" ht="13.2">
      <c r="B809" s="14"/>
      <c r="D809" s="14"/>
    </row>
    <row r="810" spans="2:4" ht="13.2">
      <c r="B810" s="14"/>
      <c r="D810" s="14"/>
    </row>
    <row r="811" spans="2:4" ht="13.2">
      <c r="B811" s="14"/>
      <c r="D811" s="14"/>
    </row>
    <row r="812" spans="2:4" ht="13.2">
      <c r="B812" s="14"/>
      <c r="D812" s="14"/>
    </row>
    <row r="813" spans="2:4" ht="13.2">
      <c r="B813" s="14"/>
      <c r="D813" s="14"/>
    </row>
    <row r="814" spans="2:4" ht="13.2">
      <c r="B814" s="14"/>
      <c r="D814" s="14"/>
    </row>
    <row r="815" spans="2:4" ht="13.2">
      <c r="B815" s="14"/>
      <c r="D815" s="14"/>
    </row>
    <row r="816" spans="2:4" ht="13.2">
      <c r="B816" s="14"/>
      <c r="D816" s="14"/>
    </row>
    <row r="817" spans="2:4" ht="13.2">
      <c r="B817" s="14"/>
      <c r="D817" s="14"/>
    </row>
    <row r="818" spans="2:4" ht="13.2">
      <c r="B818" s="14"/>
      <c r="D818" s="14"/>
    </row>
    <row r="819" spans="2:4" ht="13.2">
      <c r="B819" s="14"/>
      <c r="D819" s="14"/>
    </row>
    <row r="820" spans="2:4" ht="13.2">
      <c r="B820" s="14"/>
      <c r="D820" s="14"/>
    </row>
    <row r="821" spans="2:4" ht="13.2">
      <c r="B821" s="14"/>
      <c r="D821" s="14"/>
    </row>
    <row r="822" spans="2:4" ht="13.2">
      <c r="B822" s="14"/>
      <c r="D822" s="14"/>
    </row>
    <row r="823" spans="2:4" ht="13.2">
      <c r="B823" s="14"/>
      <c r="D823" s="14"/>
    </row>
    <row r="824" spans="2:4" ht="13.2">
      <c r="B824" s="14"/>
      <c r="D824" s="14"/>
    </row>
    <row r="825" spans="2:4" ht="13.2">
      <c r="B825" s="14"/>
      <c r="D825" s="14"/>
    </row>
    <row r="826" spans="2:4" ht="13.2">
      <c r="B826" s="14"/>
      <c r="D826" s="14"/>
    </row>
    <row r="827" spans="2:4" ht="13.2">
      <c r="B827" s="14"/>
      <c r="D827" s="14"/>
    </row>
    <row r="828" spans="2:4" ht="13.2">
      <c r="B828" s="14"/>
      <c r="D828" s="14"/>
    </row>
    <row r="829" spans="2:4" ht="13.2">
      <c r="B829" s="14"/>
      <c r="D829" s="14"/>
    </row>
    <row r="830" spans="2:4" ht="13.2">
      <c r="B830" s="14"/>
      <c r="D830" s="14"/>
    </row>
    <row r="831" spans="2:4" ht="13.2">
      <c r="B831" s="14"/>
      <c r="D831" s="14"/>
    </row>
    <row r="832" spans="2:4" ht="13.2">
      <c r="B832" s="14"/>
      <c r="D832" s="14"/>
    </row>
    <row r="833" spans="2:4" ht="13.2">
      <c r="B833" s="14"/>
      <c r="D833" s="14"/>
    </row>
    <row r="834" spans="2:4" ht="13.2">
      <c r="B834" s="14"/>
      <c r="D834" s="14"/>
    </row>
    <row r="835" spans="2:4" ht="13.2">
      <c r="B835" s="14"/>
      <c r="D835" s="14"/>
    </row>
    <row r="836" spans="2:4" ht="13.2">
      <c r="B836" s="14"/>
      <c r="D836" s="14"/>
    </row>
    <row r="837" spans="2:4" ht="13.2">
      <c r="B837" s="14"/>
      <c r="D837" s="14"/>
    </row>
    <row r="838" spans="2:4" ht="13.2">
      <c r="B838" s="14"/>
      <c r="D838" s="14"/>
    </row>
    <row r="839" spans="2:4" ht="13.2">
      <c r="B839" s="14"/>
      <c r="D839" s="14"/>
    </row>
    <row r="840" spans="2:4" ht="13.2">
      <c r="B840" s="14"/>
      <c r="D840" s="14"/>
    </row>
    <row r="841" spans="2:4" ht="13.2">
      <c r="B841" s="14"/>
      <c r="D841" s="14"/>
    </row>
    <row r="842" spans="2:4" ht="13.2">
      <c r="B842" s="14"/>
      <c r="D842" s="14"/>
    </row>
    <row r="843" spans="2:4" ht="13.2">
      <c r="B843" s="14"/>
      <c r="D843" s="14"/>
    </row>
    <row r="844" spans="2:4" ht="13.2">
      <c r="B844" s="14"/>
      <c r="D844" s="14"/>
    </row>
    <row r="845" spans="2:4" ht="13.2">
      <c r="B845" s="14"/>
      <c r="D845" s="14"/>
    </row>
    <row r="846" spans="2:4" ht="13.2">
      <c r="B846" s="14"/>
      <c r="D846" s="14"/>
    </row>
    <row r="847" spans="2:4" ht="13.2">
      <c r="B847" s="14"/>
      <c r="D847" s="14"/>
    </row>
    <row r="848" spans="2:4" ht="13.2">
      <c r="B848" s="14"/>
      <c r="D848" s="14"/>
    </row>
    <row r="849" spans="2:4" ht="13.2">
      <c r="B849" s="14"/>
      <c r="D849" s="14"/>
    </row>
    <row r="850" spans="2:4" ht="13.2">
      <c r="B850" s="14"/>
      <c r="D850" s="14"/>
    </row>
    <row r="851" spans="2:4" ht="13.2">
      <c r="B851" s="14"/>
      <c r="D851" s="14"/>
    </row>
    <row r="852" spans="2:4" ht="13.2">
      <c r="B852" s="14"/>
      <c r="D852" s="14"/>
    </row>
    <row r="853" spans="2:4" ht="13.2">
      <c r="B853" s="14"/>
      <c r="D853" s="14"/>
    </row>
    <row r="854" spans="2:4" ht="13.2">
      <c r="B854" s="14"/>
      <c r="D854" s="14"/>
    </row>
    <row r="855" spans="2:4" ht="13.2">
      <c r="B855" s="14"/>
      <c r="D855" s="14"/>
    </row>
    <row r="856" spans="2:4" ht="13.2">
      <c r="B856" s="14"/>
      <c r="D856" s="14"/>
    </row>
    <row r="857" spans="2:4" ht="13.2">
      <c r="B857" s="14"/>
      <c r="D857" s="14"/>
    </row>
    <row r="858" spans="2:4" ht="13.2">
      <c r="B858" s="14"/>
      <c r="D858" s="14"/>
    </row>
    <row r="859" spans="2:4" ht="13.2">
      <c r="B859" s="14"/>
      <c r="D859" s="14"/>
    </row>
    <row r="860" spans="2:4" ht="13.2">
      <c r="B860" s="14"/>
      <c r="D860" s="14"/>
    </row>
    <row r="861" spans="2:4" ht="13.2">
      <c r="B861" s="14"/>
      <c r="D861" s="14"/>
    </row>
    <row r="862" spans="2:4" ht="13.2">
      <c r="B862" s="14"/>
      <c r="D862" s="14"/>
    </row>
    <row r="863" spans="2:4" ht="13.2">
      <c r="B863" s="14"/>
      <c r="D863" s="14"/>
    </row>
    <row r="864" spans="2:4" ht="13.2">
      <c r="B864" s="14"/>
      <c r="D864" s="14"/>
    </row>
    <row r="865" spans="2:4" ht="13.2">
      <c r="B865" s="14"/>
      <c r="D865" s="14"/>
    </row>
    <row r="866" spans="2:4" ht="13.2">
      <c r="B866" s="14"/>
      <c r="D866" s="14"/>
    </row>
    <row r="867" spans="2:4" ht="13.2">
      <c r="B867" s="14"/>
      <c r="D867" s="14"/>
    </row>
    <row r="868" spans="2:4" ht="13.2">
      <c r="B868" s="14"/>
      <c r="D868" s="14"/>
    </row>
    <row r="869" spans="2:4" ht="13.2">
      <c r="B869" s="14"/>
      <c r="D869" s="14"/>
    </row>
    <row r="870" spans="2:4" ht="13.2">
      <c r="B870" s="14"/>
      <c r="D870" s="14"/>
    </row>
    <row r="871" spans="2:4" ht="13.2">
      <c r="B871" s="14"/>
      <c r="D871" s="14"/>
    </row>
    <row r="872" spans="2:4" ht="13.2">
      <c r="B872" s="14"/>
      <c r="D872" s="14"/>
    </row>
    <row r="873" spans="2:4" ht="13.2">
      <c r="B873" s="14"/>
      <c r="D873" s="14"/>
    </row>
    <row r="874" spans="2:4" ht="13.2">
      <c r="B874" s="14"/>
      <c r="D874" s="14"/>
    </row>
    <row r="875" spans="2:4" ht="13.2">
      <c r="B875" s="14"/>
      <c r="D875" s="14"/>
    </row>
    <row r="876" spans="2:4" ht="13.2">
      <c r="B876" s="14"/>
      <c r="D876" s="14"/>
    </row>
    <row r="877" spans="2:4" ht="13.2">
      <c r="B877" s="14"/>
      <c r="D877" s="14"/>
    </row>
    <row r="878" spans="2:4" ht="13.2">
      <c r="B878" s="14"/>
      <c r="D878" s="14"/>
    </row>
    <row r="879" spans="2:4" ht="13.2">
      <c r="B879" s="14"/>
      <c r="D879" s="14"/>
    </row>
    <row r="880" spans="2:4" ht="13.2">
      <c r="B880" s="14"/>
      <c r="D880" s="14"/>
    </row>
    <row r="881" spans="2:4" ht="13.2">
      <c r="B881" s="14"/>
      <c r="D881" s="14"/>
    </row>
    <row r="882" spans="2:4" ht="13.2">
      <c r="B882" s="14"/>
      <c r="D882" s="14"/>
    </row>
    <row r="883" spans="2:4" ht="13.2">
      <c r="B883" s="14"/>
      <c r="D883" s="14"/>
    </row>
    <row r="884" spans="2:4" ht="13.2">
      <c r="B884" s="14"/>
      <c r="D884" s="14"/>
    </row>
    <row r="885" spans="2:4" ht="13.2">
      <c r="B885" s="14"/>
      <c r="D885" s="14"/>
    </row>
    <row r="886" spans="2:4" ht="13.2">
      <c r="B886" s="14"/>
      <c r="D886" s="14"/>
    </row>
    <row r="887" spans="2:4" ht="13.2">
      <c r="B887" s="14"/>
      <c r="D887" s="14"/>
    </row>
    <row r="888" spans="2:4" ht="13.2">
      <c r="B888" s="14"/>
      <c r="D888" s="14"/>
    </row>
    <row r="889" spans="2:4" ht="13.2">
      <c r="B889" s="14"/>
      <c r="D889" s="14"/>
    </row>
    <row r="890" spans="2:4" ht="13.2">
      <c r="B890" s="14"/>
      <c r="D890" s="14"/>
    </row>
    <row r="891" spans="2:4" ht="13.2">
      <c r="B891" s="14"/>
      <c r="D891" s="14"/>
    </row>
    <row r="892" spans="2:4" ht="13.2">
      <c r="B892" s="14"/>
      <c r="D892" s="14"/>
    </row>
    <row r="893" spans="2:4" ht="13.2">
      <c r="B893" s="14"/>
      <c r="D893" s="14"/>
    </row>
    <row r="894" spans="2:4" ht="13.2">
      <c r="B894" s="14"/>
      <c r="D894" s="14"/>
    </row>
    <row r="895" spans="2:4" ht="13.2">
      <c r="B895" s="14"/>
      <c r="D895" s="14"/>
    </row>
    <row r="896" spans="2:4" ht="13.2">
      <c r="B896" s="14"/>
      <c r="D896" s="14"/>
    </row>
    <row r="897" spans="2:4" ht="13.2">
      <c r="B897" s="14"/>
      <c r="D897" s="14"/>
    </row>
    <row r="898" spans="2:4" ht="13.2">
      <c r="B898" s="14"/>
      <c r="D898" s="14"/>
    </row>
    <row r="899" spans="2:4" ht="13.2">
      <c r="B899" s="14"/>
      <c r="D899" s="14"/>
    </row>
    <row r="900" spans="2:4" ht="13.2">
      <c r="B900" s="14"/>
      <c r="D900" s="14"/>
    </row>
    <row r="901" spans="2:4" ht="13.2">
      <c r="B901" s="14"/>
      <c r="D901" s="14"/>
    </row>
    <row r="902" spans="2:4" ht="13.2">
      <c r="B902" s="14"/>
      <c r="D902" s="14"/>
    </row>
    <row r="903" spans="2:4" ht="13.2">
      <c r="B903" s="14"/>
      <c r="D903" s="14"/>
    </row>
    <row r="904" spans="2:4" ht="13.2">
      <c r="B904" s="14"/>
      <c r="D904" s="14"/>
    </row>
    <row r="905" spans="2:4" ht="13.2">
      <c r="B905" s="14"/>
      <c r="D905" s="14"/>
    </row>
    <row r="906" spans="2:4" ht="13.2">
      <c r="B906" s="14"/>
      <c r="D906" s="14"/>
    </row>
    <row r="907" spans="2:4" ht="13.2">
      <c r="B907" s="14"/>
      <c r="D907" s="14"/>
    </row>
    <row r="908" spans="2:4" ht="13.2">
      <c r="B908" s="14"/>
      <c r="D908" s="14"/>
    </row>
    <row r="909" spans="2:4" ht="13.2">
      <c r="B909" s="14"/>
      <c r="D909" s="14"/>
    </row>
    <row r="910" spans="2:4" ht="13.2">
      <c r="B910" s="14"/>
      <c r="D910" s="14"/>
    </row>
    <row r="911" spans="2:4" ht="13.2">
      <c r="B911" s="14"/>
      <c r="D911" s="14"/>
    </row>
    <row r="912" spans="2:4" ht="13.2">
      <c r="B912" s="14"/>
      <c r="D912" s="14"/>
    </row>
    <row r="913" spans="2:4" ht="13.2">
      <c r="B913" s="14"/>
      <c r="D913" s="14"/>
    </row>
    <row r="914" spans="2:4" ht="13.2">
      <c r="B914" s="14"/>
      <c r="D914" s="14"/>
    </row>
    <row r="915" spans="2:4" ht="13.2">
      <c r="B915" s="14"/>
      <c r="D915" s="14"/>
    </row>
    <row r="916" spans="2:4" ht="13.2">
      <c r="B916" s="14"/>
      <c r="D916" s="14"/>
    </row>
    <row r="917" spans="2:4" ht="13.2">
      <c r="B917" s="14"/>
      <c r="D917" s="14"/>
    </row>
    <row r="918" spans="2:4" ht="13.2">
      <c r="B918" s="14"/>
      <c r="D918" s="14"/>
    </row>
    <row r="919" spans="2:4" ht="13.2">
      <c r="B919" s="14"/>
      <c r="D919" s="14"/>
    </row>
    <row r="920" spans="2:4" ht="13.2">
      <c r="B920" s="14"/>
      <c r="D920" s="14"/>
    </row>
    <row r="921" spans="2:4" ht="13.2">
      <c r="B921" s="14"/>
      <c r="D921" s="14"/>
    </row>
    <row r="922" spans="2:4" ht="13.2">
      <c r="B922" s="14"/>
      <c r="D922" s="14"/>
    </row>
    <row r="923" spans="2:4" ht="13.2">
      <c r="B923" s="14"/>
      <c r="D923" s="14"/>
    </row>
    <row r="924" spans="2:4" ht="13.2">
      <c r="B924" s="14"/>
      <c r="D924" s="14"/>
    </row>
    <row r="925" spans="2:4" ht="13.2">
      <c r="B925" s="14"/>
      <c r="D925" s="14"/>
    </row>
    <row r="926" spans="2:4" ht="13.2">
      <c r="B926" s="14"/>
      <c r="D926" s="14"/>
    </row>
    <row r="927" spans="2:4" ht="13.2">
      <c r="B927" s="14"/>
      <c r="D927" s="14"/>
    </row>
    <row r="928" spans="2:4" ht="13.2">
      <c r="B928" s="14"/>
      <c r="D928" s="14"/>
    </row>
    <row r="929" spans="2:4" ht="13.2">
      <c r="B929" s="14"/>
      <c r="D929" s="14"/>
    </row>
    <row r="930" spans="2:4" ht="13.2">
      <c r="B930" s="14"/>
      <c r="D930" s="14"/>
    </row>
    <row r="931" spans="2:4" ht="13.2">
      <c r="B931" s="14"/>
      <c r="D931" s="14"/>
    </row>
    <row r="932" spans="2:4" ht="13.2">
      <c r="B932" s="14"/>
      <c r="D932" s="14"/>
    </row>
    <row r="933" spans="2:4" ht="13.2">
      <c r="B933" s="14"/>
      <c r="D933" s="14"/>
    </row>
    <row r="934" spans="2:4" ht="13.2">
      <c r="B934" s="14"/>
      <c r="D934" s="14"/>
    </row>
    <row r="935" spans="2:4" ht="13.2">
      <c r="B935" s="14"/>
      <c r="D935" s="14"/>
    </row>
    <row r="936" spans="2:4" ht="13.2">
      <c r="B936" s="14"/>
      <c r="D936" s="14"/>
    </row>
    <row r="937" spans="2:4" ht="13.2">
      <c r="B937" s="14"/>
      <c r="D937" s="14"/>
    </row>
    <row r="938" spans="2:4" ht="13.2">
      <c r="B938" s="14"/>
      <c r="D938" s="14"/>
    </row>
    <row r="939" spans="2:4" ht="13.2">
      <c r="B939" s="14"/>
      <c r="D939" s="14"/>
    </row>
    <row r="940" spans="2:4" ht="13.2">
      <c r="B940" s="14"/>
      <c r="D940" s="14"/>
    </row>
    <row r="941" spans="2:4" ht="13.2">
      <c r="B941" s="14"/>
      <c r="D941" s="14"/>
    </row>
    <row r="942" spans="2:4" ht="13.2">
      <c r="B942" s="14"/>
      <c r="D942" s="14"/>
    </row>
    <row r="943" spans="2:4" ht="13.2">
      <c r="B943" s="14"/>
      <c r="D943" s="14"/>
    </row>
    <row r="944" spans="2:4" ht="13.2">
      <c r="B944" s="14"/>
      <c r="D944" s="14"/>
    </row>
    <row r="945" spans="2:4" ht="13.2">
      <c r="B945" s="14"/>
      <c r="D945" s="14"/>
    </row>
    <row r="946" spans="2:4" ht="13.2">
      <c r="B946" s="14"/>
      <c r="D946" s="14"/>
    </row>
    <row r="947" spans="2:4" ht="13.2">
      <c r="B947" s="14"/>
      <c r="D947" s="14"/>
    </row>
    <row r="948" spans="2:4" ht="13.2">
      <c r="B948" s="14"/>
      <c r="D948" s="14"/>
    </row>
    <row r="949" spans="2:4" ht="13.2">
      <c r="B949" s="14"/>
      <c r="D949" s="14"/>
    </row>
    <row r="950" spans="2:4" ht="13.2">
      <c r="B950" s="14"/>
      <c r="D950" s="14"/>
    </row>
    <row r="951" spans="2:4" ht="13.2">
      <c r="B951" s="14"/>
      <c r="D951" s="14"/>
    </row>
    <row r="952" spans="2:4" ht="13.2">
      <c r="B952" s="14"/>
      <c r="D952" s="14"/>
    </row>
    <row r="953" spans="2:4" ht="13.2">
      <c r="B953" s="14"/>
      <c r="D953" s="14"/>
    </row>
    <row r="954" spans="2:4" ht="13.2">
      <c r="B954" s="14"/>
      <c r="D954" s="14"/>
    </row>
    <row r="955" spans="2:4" ht="13.2">
      <c r="B955" s="14"/>
      <c r="D955" s="14"/>
    </row>
    <row r="956" spans="2:4" ht="13.2">
      <c r="B956" s="14"/>
      <c r="D956" s="14"/>
    </row>
    <row r="957" spans="2:4" ht="13.2">
      <c r="B957" s="14"/>
      <c r="D957" s="14"/>
    </row>
    <row r="958" spans="2:4" ht="13.2">
      <c r="B958" s="14"/>
      <c r="D958" s="14"/>
    </row>
    <row r="959" spans="2:4" ht="13.2">
      <c r="B959" s="14"/>
      <c r="D959" s="14"/>
    </row>
    <row r="960" spans="2:4" ht="13.2">
      <c r="B960" s="14"/>
      <c r="D960" s="14"/>
    </row>
    <row r="961" spans="2:4" ht="13.2">
      <c r="B961" s="14"/>
      <c r="D961" s="14"/>
    </row>
    <row r="962" spans="2:4" ht="13.2">
      <c r="B962" s="14"/>
      <c r="D962" s="14"/>
    </row>
    <row r="963" spans="2:4" ht="13.2">
      <c r="B963" s="14"/>
      <c r="D963" s="14"/>
    </row>
    <row r="964" spans="2:4" ht="13.2">
      <c r="B964" s="14"/>
      <c r="D964" s="14"/>
    </row>
    <row r="965" spans="2:4" ht="13.2">
      <c r="B965" s="14"/>
      <c r="D965" s="14"/>
    </row>
    <row r="966" spans="2:4" ht="13.2">
      <c r="B966" s="14"/>
      <c r="D966" s="14"/>
    </row>
    <row r="967" spans="2:4" ht="13.2">
      <c r="B967" s="14"/>
      <c r="D967" s="14"/>
    </row>
    <row r="968" spans="2:4" ht="13.2">
      <c r="B968" s="14"/>
      <c r="D968" s="14"/>
    </row>
    <row r="969" spans="2:4" ht="13.2">
      <c r="B969" s="14"/>
      <c r="D969" s="14"/>
    </row>
    <row r="970" spans="2:4" ht="13.2">
      <c r="B970" s="14"/>
      <c r="D970" s="14"/>
    </row>
    <row r="971" spans="2:4" ht="13.2">
      <c r="B971" s="14"/>
      <c r="D971" s="14"/>
    </row>
    <row r="972" spans="2:4" ht="13.2">
      <c r="B972" s="14"/>
      <c r="D972" s="14"/>
    </row>
    <row r="973" spans="2:4" ht="13.2">
      <c r="B973" s="14"/>
      <c r="D973" s="14"/>
    </row>
    <row r="974" spans="2:4" ht="13.2">
      <c r="B974" s="14"/>
      <c r="D974" s="14"/>
    </row>
    <row r="975" spans="2:4" ht="13.2">
      <c r="B975" s="14"/>
      <c r="D975" s="14"/>
    </row>
    <row r="976" spans="2:4" ht="13.2">
      <c r="B976" s="14"/>
      <c r="D976" s="14"/>
    </row>
    <row r="977" spans="2:4" ht="13.2">
      <c r="B977" s="14"/>
      <c r="D977" s="14"/>
    </row>
    <row r="978" spans="2:4" ht="13.2">
      <c r="B978" s="14"/>
      <c r="D978" s="14"/>
    </row>
    <row r="979" spans="2:4" ht="13.2">
      <c r="B979" s="14"/>
      <c r="D979" s="14"/>
    </row>
    <row r="980" spans="2:4" ht="13.2">
      <c r="B980" s="14"/>
      <c r="D980" s="14"/>
    </row>
    <row r="981" spans="2:4" ht="13.2">
      <c r="B981" s="14"/>
      <c r="D981" s="14"/>
    </row>
    <row r="982" spans="2:4" ht="13.2">
      <c r="B982" s="14"/>
      <c r="D982" s="14"/>
    </row>
    <row r="983" spans="2:4" ht="13.2">
      <c r="B983" s="14"/>
      <c r="D983" s="14"/>
    </row>
    <row r="984" spans="2:4" ht="13.2">
      <c r="B984" s="14"/>
      <c r="D984" s="14"/>
    </row>
    <row r="985" spans="2:4" ht="13.2">
      <c r="B985" s="14"/>
      <c r="D985" s="14"/>
    </row>
  </sheetData>
  <mergeCells count="26">
    <mergeCell ref="C59:C63"/>
    <mergeCell ref="C64:C68"/>
    <mergeCell ref="C74:C78"/>
    <mergeCell ref="C69:C73"/>
    <mergeCell ref="C29:C33"/>
    <mergeCell ref="B29:B33"/>
    <mergeCell ref="B74:B78"/>
    <mergeCell ref="B64:B68"/>
    <mergeCell ref="B69:B73"/>
    <mergeCell ref="B34:B39"/>
    <mergeCell ref="B40:B44"/>
    <mergeCell ref="B49:B53"/>
    <mergeCell ref="B45:B48"/>
    <mergeCell ref="B54:B58"/>
    <mergeCell ref="B59:B63"/>
    <mergeCell ref="C34:C39"/>
    <mergeCell ref="C40:C44"/>
    <mergeCell ref="C49:C53"/>
    <mergeCell ref="C45:C48"/>
    <mergeCell ref="C54:C58"/>
    <mergeCell ref="B4:B8"/>
    <mergeCell ref="C4:C8"/>
    <mergeCell ref="B9:B23"/>
    <mergeCell ref="C9:C23"/>
    <mergeCell ref="B24:B28"/>
    <mergeCell ref="C24:C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1000"/>
  <sheetViews>
    <sheetView workbookViewId="0"/>
  </sheetViews>
  <sheetFormatPr defaultColWidth="12.6640625" defaultRowHeight="15.75" customHeight="1"/>
  <cols>
    <col min="1" max="1" width="3.44140625" customWidth="1"/>
    <col min="2" max="2" width="15.21875" customWidth="1"/>
    <col min="3" max="3" width="21.6640625" customWidth="1"/>
    <col min="4" max="4" width="24.44140625" customWidth="1"/>
    <col min="5" max="5" width="58.44140625" customWidth="1"/>
    <col min="6" max="6" width="29" customWidth="1"/>
  </cols>
  <sheetData>
    <row r="1" spans="1:6">
      <c r="A1" s="154" t="s">
        <v>1248</v>
      </c>
      <c r="B1" s="155" t="s">
        <v>623</v>
      </c>
      <c r="C1" s="156"/>
      <c r="D1" s="157" t="s">
        <v>148</v>
      </c>
      <c r="E1" s="157" t="s">
        <v>149</v>
      </c>
      <c r="F1" s="157" t="s">
        <v>150</v>
      </c>
    </row>
    <row r="2" spans="1:6">
      <c r="A2" s="158"/>
      <c r="B2" s="159"/>
      <c r="C2" s="160"/>
      <c r="D2" s="160"/>
      <c r="E2" s="160"/>
      <c r="F2" s="160"/>
    </row>
    <row r="3" spans="1:6">
      <c r="A3" s="297">
        <v>1</v>
      </c>
      <c r="B3" s="300" t="s">
        <v>760</v>
      </c>
      <c r="C3" s="161"/>
      <c r="D3" s="162" t="s">
        <v>1249</v>
      </c>
      <c r="E3" s="162" t="s">
        <v>1250</v>
      </c>
      <c r="F3" s="163" t="s">
        <v>1251</v>
      </c>
    </row>
    <row r="4" spans="1:6">
      <c r="A4" s="291"/>
      <c r="B4" s="291"/>
      <c r="C4" s="161"/>
      <c r="D4" s="162" t="s">
        <v>1252</v>
      </c>
      <c r="E4" s="161"/>
      <c r="F4" s="161"/>
    </row>
    <row r="5" spans="1:6">
      <c r="A5" s="291"/>
      <c r="B5" s="291"/>
      <c r="C5" s="161"/>
      <c r="D5" s="161"/>
      <c r="E5" s="161"/>
      <c r="F5" s="161"/>
    </row>
    <row r="6" spans="1:6">
      <c r="A6" s="291"/>
      <c r="B6" s="291"/>
      <c r="C6" s="161"/>
      <c r="D6" s="162" t="s">
        <v>1252</v>
      </c>
      <c r="E6" s="162" t="s">
        <v>1253</v>
      </c>
      <c r="F6" s="162" t="s">
        <v>1254</v>
      </c>
    </row>
    <row r="7" spans="1:6">
      <c r="A7" s="291"/>
      <c r="B7" s="291"/>
      <c r="C7" s="161"/>
      <c r="D7" s="162" t="s">
        <v>1255</v>
      </c>
      <c r="E7" s="162" t="s">
        <v>1256</v>
      </c>
      <c r="F7" s="161"/>
    </row>
    <row r="8" spans="1:6">
      <c r="A8" s="291"/>
      <c r="B8" s="291"/>
      <c r="C8" s="161"/>
      <c r="D8" s="161"/>
      <c r="E8" s="161"/>
      <c r="F8" s="161"/>
    </row>
    <row r="9" spans="1:6">
      <c r="A9" s="291"/>
      <c r="B9" s="291"/>
      <c r="C9" s="161"/>
      <c r="D9" s="162" t="s">
        <v>1252</v>
      </c>
      <c r="E9" s="162" t="s">
        <v>1257</v>
      </c>
      <c r="F9" s="162" t="s">
        <v>1258</v>
      </c>
    </row>
    <row r="10" spans="1:6">
      <c r="A10" s="291"/>
      <c r="B10" s="291"/>
      <c r="C10" s="161"/>
      <c r="D10" s="162" t="s">
        <v>1255</v>
      </c>
      <c r="E10" s="162" t="s">
        <v>1259</v>
      </c>
      <c r="F10" s="161"/>
    </row>
    <row r="11" spans="1:6">
      <c r="A11" s="291"/>
      <c r="B11" s="291"/>
      <c r="C11" s="161"/>
      <c r="D11" s="161"/>
      <c r="E11" s="161"/>
      <c r="F11" s="161"/>
    </row>
    <row r="12" spans="1:6">
      <c r="A12" s="291"/>
      <c r="B12" s="291"/>
      <c r="C12" s="161"/>
      <c r="D12" s="162" t="s">
        <v>1252</v>
      </c>
      <c r="E12" s="162" t="s">
        <v>1260</v>
      </c>
      <c r="F12" s="163" t="s">
        <v>1261</v>
      </c>
    </row>
    <row r="13" spans="1:6">
      <c r="A13" s="291"/>
      <c r="B13" s="291"/>
      <c r="C13" s="161"/>
      <c r="D13" s="162" t="s">
        <v>1255</v>
      </c>
      <c r="E13" s="162" t="s">
        <v>1262</v>
      </c>
      <c r="F13" s="161"/>
    </row>
    <row r="14" spans="1:6">
      <c r="A14" s="291"/>
      <c r="B14" s="291"/>
      <c r="C14" s="161"/>
      <c r="D14" s="161"/>
      <c r="E14" s="161"/>
      <c r="F14" s="161"/>
    </row>
    <row r="15" spans="1:6">
      <c r="A15" s="291"/>
      <c r="B15" s="291"/>
      <c r="C15" s="161"/>
      <c r="D15" s="162" t="s">
        <v>1252</v>
      </c>
      <c r="E15" s="162" t="s">
        <v>1263</v>
      </c>
      <c r="F15" s="163" t="s">
        <v>1264</v>
      </c>
    </row>
    <row r="16" spans="1:6">
      <c r="A16" s="291"/>
      <c r="B16" s="291"/>
      <c r="C16" s="161"/>
      <c r="D16" s="162" t="s">
        <v>1255</v>
      </c>
      <c r="E16" s="162" t="s">
        <v>1265</v>
      </c>
      <c r="F16" s="161"/>
    </row>
    <row r="17" spans="1:6">
      <c r="A17" s="283"/>
      <c r="B17" s="291"/>
      <c r="C17" s="161"/>
      <c r="D17" s="161"/>
      <c r="E17" s="161"/>
      <c r="F17" s="161"/>
    </row>
    <row r="18" spans="1:6">
      <c r="A18" s="297">
        <v>2</v>
      </c>
      <c r="B18" s="301" t="s">
        <v>17</v>
      </c>
      <c r="C18" s="160"/>
      <c r="D18" s="164" t="s">
        <v>1266</v>
      </c>
      <c r="E18" s="164" t="s">
        <v>1267</v>
      </c>
      <c r="F18" s="164" t="s">
        <v>1268</v>
      </c>
    </row>
    <row r="19" spans="1:6">
      <c r="A19" s="291"/>
      <c r="B19" s="291"/>
      <c r="C19" s="160"/>
      <c r="D19" s="164" t="s">
        <v>1269</v>
      </c>
      <c r="E19" s="164" t="s">
        <v>1270</v>
      </c>
      <c r="F19" s="160"/>
    </row>
    <row r="20" spans="1:6">
      <c r="A20" s="291"/>
      <c r="B20" s="291"/>
      <c r="C20" s="160"/>
      <c r="D20" s="160"/>
      <c r="E20" s="160"/>
      <c r="F20" s="160"/>
    </row>
    <row r="21" spans="1:6">
      <c r="A21" s="291"/>
      <c r="B21" s="291"/>
      <c r="C21" s="160"/>
      <c r="D21" s="164" t="s">
        <v>1271</v>
      </c>
      <c r="E21" s="164" t="s">
        <v>1272</v>
      </c>
      <c r="F21" s="164" t="s">
        <v>1273</v>
      </c>
    </row>
    <row r="22" spans="1:6">
      <c r="A22" s="291"/>
      <c r="B22" s="291"/>
      <c r="C22" s="160"/>
      <c r="D22" s="160"/>
      <c r="E22" s="164" t="s">
        <v>1274</v>
      </c>
      <c r="F22" s="160"/>
    </row>
    <row r="23" spans="1:6">
      <c r="A23" s="291"/>
      <c r="B23" s="291"/>
      <c r="C23" s="160"/>
      <c r="D23" s="160"/>
      <c r="E23" s="160"/>
      <c r="F23" s="160"/>
    </row>
    <row r="24" spans="1:6">
      <c r="A24" s="291"/>
      <c r="B24" s="291"/>
      <c r="C24" s="160"/>
      <c r="D24" s="164" t="s">
        <v>1266</v>
      </c>
      <c r="E24" s="164" t="s">
        <v>1275</v>
      </c>
      <c r="F24" s="164" t="s">
        <v>1276</v>
      </c>
    </row>
    <row r="25" spans="1:6">
      <c r="A25" s="291"/>
      <c r="B25" s="291"/>
      <c r="C25" s="160"/>
      <c r="D25" s="164" t="s">
        <v>1277</v>
      </c>
      <c r="E25" s="164" t="s">
        <v>1278</v>
      </c>
      <c r="F25" s="160"/>
    </row>
    <row r="26" spans="1:6">
      <c r="A26" s="291"/>
      <c r="B26" s="291"/>
      <c r="C26" s="160"/>
      <c r="D26" s="160"/>
      <c r="E26" s="160"/>
      <c r="F26" s="160"/>
    </row>
    <row r="27" spans="1:6">
      <c r="A27" s="291"/>
      <c r="B27" s="291"/>
      <c r="C27" s="160"/>
      <c r="D27" s="164" t="s">
        <v>1279</v>
      </c>
      <c r="E27" s="164" t="s">
        <v>1280</v>
      </c>
      <c r="F27" s="164" t="s">
        <v>1281</v>
      </c>
    </row>
    <row r="28" spans="1:6">
      <c r="A28" s="291"/>
      <c r="B28" s="291"/>
      <c r="C28" s="160"/>
      <c r="D28" s="164" t="s">
        <v>1271</v>
      </c>
      <c r="E28" s="164" t="s">
        <v>1282</v>
      </c>
      <c r="F28" s="160"/>
    </row>
    <row r="29" spans="1:6">
      <c r="A29" s="291"/>
      <c r="B29" s="291"/>
      <c r="C29" s="160"/>
      <c r="D29" s="160"/>
      <c r="E29" s="160"/>
      <c r="F29" s="160"/>
    </row>
    <row r="30" spans="1:6">
      <c r="A30" s="291"/>
      <c r="B30" s="291"/>
      <c r="C30" s="160"/>
      <c r="D30" s="164" t="s">
        <v>1283</v>
      </c>
      <c r="E30" s="164" t="s">
        <v>1284</v>
      </c>
      <c r="F30" s="164" t="s">
        <v>1285</v>
      </c>
    </row>
    <row r="31" spans="1:6">
      <c r="A31" s="291"/>
      <c r="B31" s="291"/>
      <c r="C31" s="160"/>
      <c r="D31" s="160"/>
      <c r="E31" s="164" t="s">
        <v>1286</v>
      </c>
      <c r="F31" s="160"/>
    </row>
    <row r="32" spans="1:6">
      <c r="A32" s="283"/>
      <c r="B32" s="283"/>
      <c r="C32" s="160"/>
      <c r="D32" s="160"/>
      <c r="E32" s="160"/>
      <c r="F32" s="160"/>
    </row>
    <row r="33" spans="1:6">
      <c r="A33" s="297">
        <v>3</v>
      </c>
      <c r="B33" s="300" t="s">
        <v>6</v>
      </c>
      <c r="C33" s="162" t="s">
        <v>1287</v>
      </c>
      <c r="D33" s="163" t="s">
        <v>1288</v>
      </c>
      <c r="E33" s="162" t="s">
        <v>1289</v>
      </c>
      <c r="F33" s="162" t="s">
        <v>1290</v>
      </c>
    </row>
    <row r="34" spans="1:6">
      <c r="A34" s="291"/>
      <c r="B34" s="291"/>
      <c r="C34" s="161"/>
      <c r="D34" s="161"/>
      <c r="E34" s="161"/>
      <c r="F34" s="161"/>
    </row>
    <row r="35" spans="1:6">
      <c r="A35" s="291"/>
      <c r="B35" s="291"/>
      <c r="C35" s="162" t="s">
        <v>1291</v>
      </c>
      <c r="D35" s="162" t="s">
        <v>1292</v>
      </c>
      <c r="E35" s="162" t="s">
        <v>1293</v>
      </c>
      <c r="F35" s="162">
        <v>123456</v>
      </c>
    </row>
    <row r="36" spans="1:6">
      <c r="A36" s="291"/>
      <c r="B36" s="291"/>
      <c r="C36" s="161"/>
      <c r="D36" s="161"/>
      <c r="E36" s="161"/>
      <c r="F36" s="161"/>
    </row>
    <row r="37" spans="1:6">
      <c r="A37" s="291"/>
      <c r="B37" s="291"/>
      <c r="C37" s="162" t="s">
        <v>1294</v>
      </c>
      <c r="D37" s="162" t="s">
        <v>1295</v>
      </c>
      <c r="E37" s="162" t="s">
        <v>1296</v>
      </c>
      <c r="F37" s="162" t="s">
        <v>1297</v>
      </c>
    </row>
    <row r="38" spans="1:6">
      <c r="A38" s="291"/>
      <c r="B38" s="291"/>
      <c r="C38" s="161"/>
      <c r="D38" s="161"/>
      <c r="E38" s="161"/>
      <c r="F38" s="161"/>
    </row>
    <row r="39" spans="1:6">
      <c r="A39" s="291"/>
      <c r="B39" s="291"/>
      <c r="C39" s="162" t="s">
        <v>1298</v>
      </c>
      <c r="D39" s="162">
        <v>1236456</v>
      </c>
      <c r="E39" s="162" t="s">
        <v>1299</v>
      </c>
      <c r="F39" s="162">
        <v>1236456</v>
      </c>
    </row>
    <row r="40" spans="1:6">
      <c r="A40" s="291"/>
      <c r="B40" s="291"/>
      <c r="C40" s="161"/>
      <c r="D40" s="161"/>
      <c r="E40" s="161"/>
      <c r="F40" s="161"/>
    </row>
    <row r="41" spans="1:6">
      <c r="A41" s="291"/>
      <c r="B41" s="291"/>
      <c r="C41" s="162" t="s">
        <v>1300</v>
      </c>
      <c r="D41" s="162" t="s">
        <v>1301</v>
      </c>
      <c r="E41" s="162" t="s">
        <v>1302</v>
      </c>
      <c r="F41" s="162" t="s">
        <v>1301</v>
      </c>
    </row>
    <row r="42" spans="1:6">
      <c r="A42" s="283"/>
      <c r="B42" s="291"/>
      <c r="C42" s="161"/>
      <c r="D42" s="161"/>
      <c r="E42" s="161"/>
      <c r="F42" s="161"/>
    </row>
    <row r="43" spans="1:6">
      <c r="A43" s="297">
        <v>4</v>
      </c>
      <c r="B43" s="301" t="s">
        <v>44</v>
      </c>
      <c r="C43" s="160"/>
      <c r="D43" s="164" t="s">
        <v>1252</v>
      </c>
      <c r="E43" s="164" t="s">
        <v>1303</v>
      </c>
      <c r="F43" s="164" t="b">
        <v>1</v>
      </c>
    </row>
    <row r="44" spans="1:6">
      <c r="A44" s="291"/>
      <c r="B44" s="291"/>
      <c r="C44" s="160"/>
      <c r="D44" s="164" t="s">
        <v>1252</v>
      </c>
      <c r="E44" s="164" t="s">
        <v>1304</v>
      </c>
      <c r="F44" s="160"/>
    </row>
    <row r="45" spans="1:6">
      <c r="A45" s="291"/>
      <c r="B45" s="291"/>
      <c r="C45" s="160"/>
      <c r="D45" s="160"/>
      <c r="E45" s="160"/>
      <c r="F45" s="160"/>
    </row>
    <row r="46" spans="1:6">
      <c r="A46" s="291"/>
      <c r="B46" s="291"/>
      <c r="C46" s="160"/>
      <c r="D46" s="164" t="s">
        <v>1252</v>
      </c>
      <c r="E46" s="164" t="s">
        <v>1305</v>
      </c>
      <c r="F46" s="164" t="b">
        <v>0</v>
      </c>
    </row>
    <row r="47" spans="1:6">
      <c r="A47" s="291"/>
      <c r="B47" s="291"/>
      <c r="C47" s="160"/>
      <c r="D47" s="164" t="s">
        <v>1249</v>
      </c>
      <c r="E47" s="164" t="s">
        <v>1306</v>
      </c>
      <c r="F47" s="160"/>
    </row>
    <row r="48" spans="1:6">
      <c r="A48" s="291"/>
      <c r="B48" s="291"/>
      <c r="C48" s="160"/>
      <c r="D48" s="160"/>
      <c r="E48" s="160"/>
      <c r="F48" s="160"/>
    </row>
    <row r="49" spans="1:6">
      <c r="A49" s="291"/>
      <c r="B49" s="291"/>
      <c r="C49" s="160"/>
      <c r="D49" s="164" t="s">
        <v>1307</v>
      </c>
      <c r="E49" s="164" t="s">
        <v>1308</v>
      </c>
      <c r="F49" s="164" t="b">
        <v>0</v>
      </c>
    </row>
    <row r="50" spans="1:6">
      <c r="A50" s="291"/>
      <c r="B50" s="291"/>
      <c r="C50" s="160"/>
      <c r="D50" s="160"/>
      <c r="E50" s="160"/>
      <c r="F50" s="160"/>
    </row>
    <row r="51" spans="1:6">
      <c r="A51" s="291"/>
      <c r="B51" s="291"/>
      <c r="C51" s="160"/>
      <c r="D51" s="164" t="s">
        <v>1309</v>
      </c>
      <c r="E51" s="164" t="s">
        <v>1310</v>
      </c>
      <c r="F51" s="164" t="b">
        <v>1</v>
      </c>
    </row>
    <row r="52" spans="1:6">
      <c r="A52" s="291"/>
      <c r="B52" s="291"/>
      <c r="C52" s="160"/>
      <c r="D52" s="164" t="s">
        <v>1309</v>
      </c>
      <c r="E52" s="164" t="s">
        <v>1311</v>
      </c>
      <c r="F52" s="160"/>
    </row>
    <row r="53" spans="1:6">
      <c r="A53" s="291"/>
      <c r="B53" s="291"/>
      <c r="C53" s="160"/>
      <c r="D53" s="160"/>
      <c r="E53" s="160"/>
      <c r="F53" s="160"/>
    </row>
    <row r="54" spans="1:6">
      <c r="A54" s="291"/>
      <c r="B54" s="291"/>
      <c r="C54" s="160"/>
      <c r="D54" s="164" t="s">
        <v>1309</v>
      </c>
      <c r="E54" s="164" t="s">
        <v>1312</v>
      </c>
      <c r="F54" s="164" t="b">
        <v>0</v>
      </c>
    </row>
    <row r="55" spans="1:6">
      <c r="A55" s="291"/>
      <c r="B55" s="291"/>
      <c r="C55" s="160"/>
      <c r="D55" s="164" t="s">
        <v>1313</v>
      </c>
      <c r="E55" s="164" t="s">
        <v>1314</v>
      </c>
      <c r="F55" s="160"/>
    </row>
    <row r="56" spans="1:6">
      <c r="A56" s="283"/>
      <c r="B56" s="283"/>
      <c r="C56" s="160"/>
      <c r="D56" s="160"/>
      <c r="E56" s="160"/>
      <c r="F56" s="160"/>
    </row>
    <row r="57" spans="1:6">
      <c r="A57" s="297">
        <v>5</v>
      </c>
      <c r="B57" s="300" t="s">
        <v>33</v>
      </c>
      <c r="C57" s="161"/>
      <c r="D57" s="162" t="s">
        <v>1315</v>
      </c>
      <c r="E57" s="162" t="s">
        <v>1316</v>
      </c>
      <c r="F57" s="162">
        <v>9</v>
      </c>
    </row>
    <row r="58" spans="1:6">
      <c r="A58" s="291"/>
      <c r="B58" s="291"/>
      <c r="C58" s="161"/>
      <c r="D58" s="161"/>
      <c r="E58" s="161"/>
      <c r="F58" s="161"/>
    </row>
    <row r="59" spans="1:6">
      <c r="A59" s="291"/>
      <c r="B59" s="291"/>
      <c r="C59" s="161"/>
      <c r="D59" s="162" t="s">
        <v>1315</v>
      </c>
      <c r="E59" s="162" t="s">
        <v>1317</v>
      </c>
      <c r="F59" s="162" t="e">
        <v>#VALUE!</v>
      </c>
    </row>
    <row r="60" spans="1:6">
      <c r="A60" s="291"/>
      <c r="B60" s="291"/>
      <c r="C60" s="161"/>
      <c r="D60" s="161"/>
      <c r="E60" s="161"/>
      <c r="F60" s="161"/>
    </row>
    <row r="61" spans="1:6">
      <c r="A61" s="291"/>
      <c r="B61" s="291"/>
      <c r="C61" s="161"/>
      <c r="D61" s="162" t="s">
        <v>1252</v>
      </c>
      <c r="E61" s="162" t="s">
        <v>1318</v>
      </c>
      <c r="F61" s="162">
        <v>1</v>
      </c>
    </row>
    <row r="62" spans="1:6">
      <c r="A62" s="291"/>
      <c r="B62" s="291"/>
      <c r="C62" s="161"/>
      <c r="D62" s="161"/>
      <c r="E62" s="161"/>
      <c r="F62" s="161"/>
    </row>
    <row r="63" spans="1:6">
      <c r="A63" s="291"/>
      <c r="B63" s="291"/>
      <c r="C63" s="161"/>
      <c r="D63" s="162" t="s">
        <v>1252</v>
      </c>
      <c r="E63" s="162" t="s">
        <v>1319</v>
      </c>
      <c r="F63" s="162">
        <v>4</v>
      </c>
    </row>
    <row r="64" spans="1:6">
      <c r="A64" s="291"/>
      <c r="B64" s="291"/>
      <c r="C64" s="161"/>
      <c r="D64" s="161"/>
      <c r="E64" s="161"/>
      <c r="F64" s="161"/>
    </row>
    <row r="65" spans="1:6">
      <c r="A65" s="291"/>
      <c r="B65" s="291"/>
      <c r="C65" s="161"/>
      <c r="D65" s="165" t="s">
        <v>1320</v>
      </c>
      <c r="E65" s="162" t="s">
        <v>1321</v>
      </c>
      <c r="F65" s="162">
        <v>7</v>
      </c>
    </row>
    <row r="66" spans="1:6">
      <c r="A66" s="283"/>
      <c r="B66" s="283"/>
      <c r="C66" s="161"/>
      <c r="D66" s="161"/>
      <c r="E66" s="161"/>
      <c r="F66" s="161"/>
    </row>
    <row r="67" spans="1:6">
      <c r="A67" s="297">
        <v>6</v>
      </c>
      <c r="B67" s="300" t="s">
        <v>57</v>
      </c>
      <c r="C67" s="160"/>
      <c r="D67" s="164" t="s">
        <v>1266</v>
      </c>
      <c r="E67" s="164" t="s">
        <v>1322</v>
      </c>
      <c r="F67" s="164" t="s">
        <v>1323</v>
      </c>
    </row>
    <row r="68" spans="1:6">
      <c r="A68" s="291"/>
      <c r="B68" s="291"/>
      <c r="C68" s="160"/>
      <c r="D68" s="160"/>
      <c r="E68" s="160"/>
      <c r="F68" s="160"/>
    </row>
    <row r="69" spans="1:6">
      <c r="A69" s="291"/>
      <c r="B69" s="291"/>
      <c r="C69" s="160"/>
      <c r="D69" s="164" t="s">
        <v>1324</v>
      </c>
      <c r="E69" s="164" t="s">
        <v>1325</v>
      </c>
      <c r="F69" s="164" t="s">
        <v>1326</v>
      </c>
    </row>
    <row r="70" spans="1:6">
      <c r="A70" s="291"/>
      <c r="B70" s="291"/>
      <c r="C70" s="160"/>
      <c r="D70" s="160"/>
      <c r="E70" s="160"/>
      <c r="F70" s="160"/>
    </row>
    <row r="71" spans="1:6">
      <c r="A71" s="291"/>
      <c r="B71" s="291"/>
      <c r="C71" s="160"/>
      <c r="D71" s="164" t="s">
        <v>1327</v>
      </c>
      <c r="E71" s="164" t="s">
        <v>1328</v>
      </c>
      <c r="F71" s="164" t="s">
        <v>1283</v>
      </c>
    </row>
    <row r="72" spans="1:6">
      <c r="A72" s="291"/>
      <c r="B72" s="291"/>
      <c r="C72" s="160"/>
      <c r="D72" s="160"/>
      <c r="E72" s="160"/>
      <c r="F72" s="160"/>
    </row>
    <row r="73" spans="1:6">
      <c r="A73" s="291"/>
      <c r="B73" s="291"/>
      <c r="C73" s="160"/>
      <c r="D73" s="166" t="s">
        <v>1329</v>
      </c>
      <c r="E73" s="164" t="s">
        <v>1330</v>
      </c>
      <c r="F73" s="164" t="s">
        <v>1331</v>
      </c>
    </row>
    <row r="74" spans="1:6">
      <c r="A74" s="291"/>
      <c r="B74" s="291"/>
      <c r="C74" s="160"/>
      <c r="D74" s="160"/>
      <c r="E74" s="160"/>
      <c r="F74" s="160"/>
    </row>
    <row r="75" spans="1:6">
      <c r="A75" s="291"/>
      <c r="B75" s="291"/>
      <c r="C75" s="160"/>
      <c r="D75" s="167">
        <v>38448</v>
      </c>
      <c r="E75" s="164" t="s">
        <v>1332</v>
      </c>
      <c r="F75" s="164">
        <v>4</v>
      </c>
    </row>
    <row r="76" spans="1:6">
      <c r="A76" s="283"/>
      <c r="B76" s="283"/>
      <c r="C76" s="160"/>
      <c r="D76" s="160"/>
      <c r="E76" s="160"/>
      <c r="F76" s="160"/>
    </row>
    <row r="77" spans="1:6">
      <c r="A77" s="297">
        <v>7</v>
      </c>
      <c r="B77" s="300" t="s">
        <v>123</v>
      </c>
      <c r="C77" s="161"/>
      <c r="D77" s="162" t="s">
        <v>1266</v>
      </c>
      <c r="E77" s="162" t="s">
        <v>1333</v>
      </c>
      <c r="F77" s="162" t="s">
        <v>1334</v>
      </c>
    </row>
    <row r="78" spans="1:6">
      <c r="A78" s="291"/>
      <c r="B78" s="291"/>
      <c r="C78" s="161"/>
      <c r="D78" s="161"/>
      <c r="E78" s="161"/>
      <c r="F78" s="161"/>
    </row>
    <row r="79" spans="1:6">
      <c r="A79" s="291"/>
      <c r="B79" s="291"/>
      <c r="C79" s="161"/>
      <c r="D79" s="162" t="s">
        <v>1324</v>
      </c>
      <c r="E79" s="162" t="s">
        <v>1335</v>
      </c>
      <c r="F79" s="162">
        <v>1234</v>
      </c>
    </row>
    <row r="80" spans="1:6">
      <c r="A80" s="291"/>
      <c r="B80" s="291"/>
      <c r="C80" s="161"/>
      <c r="D80" s="161"/>
      <c r="E80" s="161"/>
      <c r="F80" s="161"/>
    </row>
    <row r="81" spans="1:6">
      <c r="A81" s="291"/>
      <c r="B81" s="291"/>
      <c r="C81" s="161"/>
      <c r="D81" s="162" t="s">
        <v>1327</v>
      </c>
      <c r="E81" s="162" t="s">
        <v>1336</v>
      </c>
      <c r="F81" s="162">
        <v>2344</v>
      </c>
    </row>
    <row r="82" spans="1:6">
      <c r="A82" s="291"/>
      <c r="B82" s="291"/>
      <c r="C82" s="161"/>
      <c r="D82" s="161"/>
      <c r="E82" s="161"/>
      <c r="F82" s="161"/>
    </row>
    <row r="83" spans="1:6">
      <c r="A83" s="291"/>
      <c r="B83" s="291"/>
      <c r="C83" s="161"/>
      <c r="D83" s="162" t="s">
        <v>1329</v>
      </c>
      <c r="E83" s="162" t="s">
        <v>1337</v>
      </c>
      <c r="F83" s="162" t="s">
        <v>1338</v>
      </c>
    </row>
    <row r="84" spans="1:6">
      <c r="A84" s="291"/>
      <c r="B84" s="291"/>
      <c r="C84" s="161"/>
      <c r="D84" s="161"/>
      <c r="E84" s="161"/>
      <c r="F84" s="161"/>
    </row>
    <row r="85" spans="1:6">
      <c r="A85" s="291"/>
      <c r="B85" s="291"/>
      <c r="C85" s="161"/>
      <c r="D85" s="168">
        <v>38448</v>
      </c>
      <c r="E85" s="162" t="s">
        <v>1339</v>
      </c>
      <c r="F85" s="162">
        <v>5</v>
      </c>
    </row>
    <row r="86" spans="1:6">
      <c r="A86" s="283"/>
      <c r="B86" s="283"/>
      <c r="C86" s="161"/>
      <c r="D86" s="161"/>
      <c r="E86" s="161"/>
      <c r="F86" s="161"/>
    </row>
    <row r="87" spans="1:6">
      <c r="A87" s="297">
        <v>8</v>
      </c>
      <c r="B87" s="300" t="s">
        <v>90</v>
      </c>
      <c r="C87" s="160"/>
      <c r="D87" s="164" t="s">
        <v>1340</v>
      </c>
      <c r="E87" s="164" t="s">
        <v>1341</v>
      </c>
      <c r="F87" s="164" t="s">
        <v>1342</v>
      </c>
    </row>
    <row r="88" spans="1:6">
      <c r="A88" s="291"/>
      <c r="B88" s="291"/>
      <c r="C88" s="160"/>
      <c r="D88" s="160"/>
      <c r="E88" s="160"/>
      <c r="F88" s="160"/>
    </row>
    <row r="89" spans="1:6">
      <c r="A89" s="291"/>
      <c r="B89" s="291"/>
      <c r="C89" s="160"/>
      <c r="D89" s="164" t="s">
        <v>1343</v>
      </c>
      <c r="E89" s="164" t="s">
        <v>1344</v>
      </c>
      <c r="F89" s="164">
        <v>12345</v>
      </c>
    </row>
    <row r="90" spans="1:6">
      <c r="A90" s="291"/>
      <c r="B90" s="291"/>
      <c r="C90" s="169"/>
      <c r="D90" s="160"/>
      <c r="E90" s="160"/>
      <c r="F90" s="160"/>
    </row>
    <row r="91" spans="1:6">
      <c r="A91" s="291"/>
      <c r="B91" s="291"/>
      <c r="C91" s="160"/>
      <c r="D91" s="167">
        <v>38448</v>
      </c>
      <c r="E91" s="164" t="s">
        <v>1345</v>
      </c>
      <c r="F91" s="164" t="s">
        <v>1346</v>
      </c>
    </row>
    <row r="92" spans="1:6">
      <c r="A92" s="291"/>
      <c r="B92" s="291"/>
      <c r="C92" s="160"/>
      <c r="D92" s="160"/>
      <c r="E92" s="160"/>
      <c r="F92" s="160"/>
    </row>
    <row r="93" spans="1:6">
      <c r="A93" s="291"/>
      <c r="B93" s="291"/>
      <c r="C93" s="160"/>
      <c r="D93" s="170" t="s">
        <v>1347</v>
      </c>
      <c r="E93" s="164" t="s">
        <v>1348</v>
      </c>
      <c r="F93" s="164" t="s">
        <v>1349</v>
      </c>
    </row>
    <row r="94" spans="1:6">
      <c r="A94" s="291"/>
      <c r="B94" s="291"/>
      <c r="C94" s="160"/>
      <c r="D94" s="160"/>
      <c r="E94" s="160"/>
      <c r="F94" s="160"/>
    </row>
    <row r="95" spans="1:6">
      <c r="A95" s="291"/>
      <c r="B95" s="291"/>
      <c r="C95" s="160"/>
      <c r="D95" s="164" t="s">
        <v>1350</v>
      </c>
      <c r="E95" s="164" t="s">
        <v>1351</v>
      </c>
      <c r="F95" s="164" t="s">
        <v>1352</v>
      </c>
    </row>
    <row r="96" spans="1:6">
      <c r="A96" s="283"/>
      <c r="B96" s="283"/>
      <c r="C96" s="160"/>
      <c r="D96" s="160"/>
      <c r="E96" s="160"/>
      <c r="F96" s="160"/>
    </row>
    <row r="97" spans="1:6">
      <c r="A97" s="297">
        <v>9</v>
      </c>
      <c r="B97" s="300" t="s">
        <v>79</v>
      </c>
      <c r="C97" s="161"/>
      <c r="D97" s="162" t="s">
        <v>1315</v>
      </c>
      <c r="E97" s="162" t="s">
        <v>1353</v>
      </c>
      <c r="F97" s="162" t="s">
        <v>1254</v>
      </c>
    </row>
    <row r="98" spans="1:6">
      <c r="A98" s="291"/>
      <c r="B98" s="291"/>
      <c r="C98" s="161"/>
      <c r="D98" s="161"/>
      <c r="E98" s="161"/>
      <c r="F98" s="161"/>
    </row>
    <row r="99" spans="1:6">
      <c r="A99" s="291"/>
      <c r="B99" s="291"/>
      <c r="C99" s="161"/>
      <c r="D99" s="170" t="s">
        <v>1354</v>
      </c>
      <c r="E99" s="162" t="s">
        <v>1355</v>
      </c>
      <c r="F99" s="162" t="s">
        <v>1356</v>
      </c>
    </row>
    <row r="100" spans="1:6">
      <c r="A100" s="291"/>
      <c r="B100" s="291"/>
      <c r="C100" s="161"/>
      <c r="D100" s="161"/>
      <c r="E100" s="161"/>
      <c r="F100" s="161"/>
    </row>
    <row r="101" spans="1:6">
      <c r="A101" s="291"/>
      <c r="B101" s="291"/>
      <c r="C101" s="161"/>
      <c r="D101" s="162" t="s">
        <v>1357</v>
      </c>
      <c r="E101" s="162" t="s">
        <v>1358</v>
      </c>
      <c r="F101" s="162" t="s">
        <v>1359</v>
      </c>
    </row>
    <row r="102" spans="1:6">
      <c r="A102" s="291"/>
      <c r="B102" s="291"/>
      <c r="C102" s="161"/>
      <c r="D102" s="161"/>
      <c r="E102" s="161"/>
      <c r="F102" s="161"/>
    </row>
    <row r="103" spans="1:6">
      <c r="A103" s="291"/>
      <c r="B103" s="291"/>
      <c r="C103" s="161"/>
      <c r="D103" s="162" t="s">
        <v>1360</v>
      </c>
      <c r="E103" s="162" t="s">
        <v>1361</v>
      </c>
      <c r="F103" s="162" t="s">
        <v>1362</v>
      </c>
    </row>
    <row r="104" spans="1:6">
      <c r="A104" s="291"/>
      <c r="B104" s="291"/>
      <c r="C104" s="161"/>
      <c r="D104" s="161"/>
      <c r="E104" s="161"/>
      <c r="F104" s="161"/>
    </row>
    <row r="105" spans="1:6">
      <c r="A105" s="291"/>
      <c r="B105" s="291"/>
      <c r="C105" s="161"/>
      <c r="D105" s="162" t="s">
        <v>1363</v>
      </c>
      <c r="E105" s="162" t="s">
        <v>1364</v>
      </c>
      <c r="F105" s="162" t="s">
        <v>1365</v>
      </c>
    </row>
    <row r="106" spans="1:6">
      <c r="A106" s="283"/>
      <c r="B106" s="283"/>
      <c r="C106" s="161"/>
      <c r="D106" s="161"/>
      <c r="E106" s="161"/>
      <c r="F106" s="161"/>
    </row>
    <row r="107" spans="1:6">
      <c r="A107" s="297">
        <v>10</v>
      </c>
      <c r="B107" s="300" t="s">
        <v>134</v>
      </c>
      <c r="C107" s="160"/>
      <c r="D107" s="164" t="s">
        <v>1254</v>
      </c>
      <c r="E107" s="164" t="s">
        <v>1366</v>
      </c>
      <c r="F107" s="164" t="s">
        <v>1315</v>
      </c>
    </row>
    <row r="108" spans="1:6">
      <c r="A108" s="291"/>
      <c r="B108" s="291"/>
      <c r="C108" s="160"/>
      <c r="D108" s="160"/>
      <c r="E108" s="160"/>
      <c r="F108" s="160"/>
    </row>
    <row r="109" spans="1:6">
      <c r="A109" s="291"/>
      <c r="B109" s="291"/>
      <c r="C109" s="160"/>
      <c r="D109" s="170" t="s">
        <v>1367</v>
      </c>
      <c r="E109" s="164" t="s">
        <v>1368</v>
      </c>
      <c r="F109" s="164" t="s">
        <v>1369</v>
      </c>
    </row>
    <row r="110" spans="1:6">
      <c r="A110" s="291"/>
      <c r="B110" s="291"/>
      <c r="C110" s="160"/>
      <c r="D110" s="160"/>
      <c r="E110" s="160"/>
      <c r="F110" s="160"/>
    </row>
    <row r="111" spans="1:6">
      <c r="A111" s="291"/>
      <c r="B111" s="291"/>
      <c r="C111" s="160"/>
      <c r="D111" s="164" t="s">
        <v>1357</v>
      </c>
      <c r="E111" s="164" t="s">
        <v>1370</v>
      </c>
      <c r="F111" s="164" t="s">
        <v>1340</v>
      </c>
    </row>
    <row r="112" spans="1:6">
      <c r="A112" s="291"/>
      <c r="B112" s="291"/>
      <c r="C112" s="160"/>
      <c r="D112" s="160"/>
      <c r="E112" s="160"/>
      <c r="F112" s="160"/>
    </row>
    <row r="113" spans="1:6">
      <c r="A113" s="291"/>
      <c r="B113" s="291"/>
      <c r="C113" s="160"/>
      <c r="D113" s="164" t="s">
        <v>1362</v>
      </c>
      <c r="E113" s="164" t="s">
        <v>1371</v>
      </c>
      <c r="F113" s="164" t="s">
        <v>1360</v>
      </c>
    </row>
    <row r="114" spans="1:6">
      <c r="A114" s="291"/>
      <c r="B114" s="291"/>
      <c r="C114" s="160"/>
      <c r="D114" s="160"/>
      <c r="E114" s="160"/>
      <c r="F114" s="160"/>
    </row>
    <row r="115" spans="1:6">
      <c r="A115" s="291"/>
      <c r="B115" s="291"/>
      <c r="C115" s="160"/>
      <c r="D115" s="164" t="s">
        <v>1363</v>
      </c>
      <c r="E115" s="164" t="s">
        <v>1372</v>
      </c>
      <c r="F115" s="164" t="s">
        <v>1373</v>
      </c>
    </row>
    <row r="116" spans="1:6">
      <c r="A116" s="283"/>
      <c r="B116" s="283"/>
      <c r="C116" s="160"/>
      <c r="D116" s="160"/>
      <c r="E116" s="160"/>
      <c r="F116" s="160"/>
    </row>
    <row r="117" spans="1:6">
      <c r="A117" s="297">
        <v>11</v>
      </c>
      <c r="B117" s="300" t="s">
        <v>68</v>
      </c>
      <c r="C117" s="161"/>
      <c r="D117" s="162" t="s">
        <v>1266</v>
      </c>
      <c r="E117" s="162" t="s">
        <v>1374</v>
      </c>
      <c r="F117" s="162">
        <v>8</v>
      </c>
    </row>
    <row r="118" spans="1:6">
      <c r="A118" s="291"/>
      <c r="B118" s="291"/>
      <c r="C118" s="161"/>
      <c r="D118" s="161"/>
      <c r="E118" s="161"/>
      <c r="F118" s="161"/>
    </row>
    <row r="119" spans="1:6">
      <c r="A119" s="291"/>
      <c r="B119" s="291"/>
      <c r="C119" s="161"/>
      <c r="D119" s="162" t="s">
        <v>1315</v>
      </c>
      <c r="E119" s="162" t="s">
        <v>1375</v>
      </c>
      <c r="F119" s="162">
        <v>15</v>
      </c>
    </row>
    <row r="120" spans="1:6">
      <c r="A120" s="291"/>
      <c r="B120" s="291"/>
      <c r="C120" s="161"/>
      <c r="D120" s="161"/>
      <c r="E120" s="161"/>
      <c r="F120" s="161"/>
    </row>
    <row r="121" spans="1:6">
      <c r="A121" s="291"/>
      <c r="B121" s="291"/>
      <c r="C121" s="161"/>
      <c r="D121" s="162">
        <v>7498290155</v>
      </c>
      <c r="E121" s="162" t="s">
        <v>1376</v>
      </c>
      <c r="F121" s="162">
        <v>10</v>
      </c>
    </row>
    <row r="122" spans="1:6">
      <c r="A122" s="291"/>
      <c r="B122" s="291"/>
      <c r="C122" s="161"/>
      <c r="D122" s="161"/>
      <c r="E122" s="161"/>
      <c r="F122" s="161"/>
    </row>
    <row r="123" spans="1:6">
      <c r="A123" s="291"/>
      <c r="B123" s="291"/>
      <c r="C123" s="161"/>
      <c r="D123" s="170" t="s">
        <v>1377</v>
      </c>
      <c r="E123" s="162" t="s">
        <v>1378</v>
      </c>
      <c r="F123" s="162">
        <v>23</v>
      </c>
    </row>
    <row r="124" spans="1:6">
      <c r="A124" s="291"/>
      <c r="B124" s="291"/>
      <c r="C124" s="161"/>
      <c r="D124" s="161"/>
      <c r="E124" s="161"/>
      <c r="F124" s="161"/>
    </row>
    <row r="125" spans="1:6">
      <c r="A125" s="291"/>
      <c r="B125" s="291"/>
      <c r="C125" s="161"/>
      <c r="D125" s="162" t="s">
        <v>1379</v>
      </c>
      <c r="E125" s="162" t="s">
        <v>1380</v>
      </c>
      <c r="F125" s="162">
        <v>13</v>
      </c>
    </row>
    <row r="126" spans="1:6">
      <c r="A126" s="283"/>
      <c r="B126" s="283"/>
      <c r="C126" s="161"/>
      <c r="D126" s="161"/>
      <c r="E126" s="161"/>
      <c r="F126" s="161"/>
    </row>
    <row r="127" spans="1:6">
      <c r="A127" s="297">
        <v>12</v>
      </c>
      <c r="B127" s="300" t="s">
        <v>112</v>
      </c>
      <c r="C127" s="160"/>
      <c r="D127" s="164" t="s">
        <v>1266</v>
      </c>
      <c r="E127" s="164" t="s">
        <v>1381</v>
      </c>
      <c r="F127" s="164" t="s">
        <v>1382</v>
      </c>
    </row>
    <row r="128" spans="1:6">
      <c r="A128" s="291"/>
      <c r="B128" s="291"/>
      <c r="C128" s="160"/>
      <c r="D128" s="160"/>
      <c r="E128" s="160"/>
      <c r="F128" s="160"/>
    </row>
    <row r="129" spans="1:6">
      <c r="A129" s="291"/>
      <c r="B129" s="291"/>
      <c r="C129" s="160"/>
      <c r="D129" s="164" t="s">
        <v>1383</v>
      </c>
      <c r="E129" s="164" t="s">
        <v>1384</v>
      </c>
      <c r="F129" s="164" t="s">
        <v>1385</v>
      </c>
    </row>
    <row r="130" spans="1:6">
      <c r="A130" s="291"/>
      <c r="B130" s="291"/>
      <c r="C130" s="160"/>
      <c r="D130" s="160"/>
      <c r="E130" s="160"/>
      <c r="F130" s="160"/>
    </row>
    <row r="131" spans="1:6">
      <c r="A131" s="291"/>
      <c r="B131" s="291"/>
      <c r="C131" s="160"/>
      <c r="D131" s="164">
        <v>7498290155</v>
      </c>
      <c r="E131" s="164" t="s">
        <v>1386</v>
      </c>
      <c r="F131" s="164" t="s">
        <v>1387</v>
      </c>
    </row>
    <row r="132" spans="1:6">
      <c r="A132" s="291"/>
      <c r="B132" s="291"/>
      <c r="C132" s="160"/>
      <c r="D132" s="160"/>
      <c r="E132" s="160"/>
      <c r="F132" s="160"/>
    </row>
    <row r="133" spans="1:6">
      <c r="A133" s="291"/>
      <c r="B133" s="291"/>
      <c r="C133" s="160"/>
      <c r="D133" s="167">
        <v>46118</v>
      </c>
      <c r="E133" s="164" t="s">
        <v>1388</v>
      </c>
      <c r="F133" s="167">
        <v>38448</v>
      </c>
    </row>
    <row r="134" spans="1:6">
      <c r="A134" s="291"/>
      <c r="B134" s="291"/>
      <c r="C134" s="160"/>
      <c r="D134" s="160"/>
      <c r="E134" s="160"/>
      <c r="F134" s="160"/>
    </row>
    <row r="135" spans="1:6">
      <c r="A135" s="291"/>
      <c r="B135" s="291"/>
      <c r="C135" s="160"/>
      <c r="D135" s="164" t="s">
        <v>1389</v>
      </c>
      <c r="E135" s="164" t="s">
        <v>1390</v>
      </c>
      <c r="F135" s="164" t="s">
        <v>1391</v>
      </c>
    </row>
    <row r="136" spans="1:6">
      <c r="A136" s="283"/>
      <c r="B136" s="283"/>
      <c r="C136" s="160"/>
      <c r="D136" s="160"/>
      <c r="E136" s="160"/>
      <c r="F136" s="160"/>
    </row>
    <row r="137" spans="1:6">
      <c r="A137" s="297">
        <v>13</v>
      </c>
      <c r="B137" s="301" t="s">
        <v>1392</v>
      </c>
      <c r="C137" s="161"/>
      <c r="D137" s="162" t="s">
        <v>1266</v>
      </c>
      <c r="E137" s="162" t="s">
        <v>1393</v>
      </c>
      <c r="F137" s="162" t="s">
        <v>1266</v>
      </c>
    </row>
    <row r="138" spans="1:6">
      <c r="A138" s="291"/>
      <c r="B138" s="291"/>
      <c r="C138" s="161"/>
      <c r="D138" s="161"/>
      <c r="E138" s="161"/>
      <c r="F138" s="161"/>
    </row>
    <row r="139" spans="1:6">
      <c r="A139" s="291"/>
      <c r="B139" s="291"/>
      <c r="C139" s="161"/>
      <c r="D139" s="162" t="s">
        <v>1394</v>
      </c>
      <c r="E139" s="162" t="s">
        <v>1395</v>
      </c>
      <c r="F139" s="162" t="s">
        <v>1394</v>
      </c>
    </row>
    <row r="140" spans="1:6">
      <c r="A140" s="291"/>
      <c r="B140" s="291"/>
      <c r="C140" s="161"/>
      <c r="D140" s="161"/>
      <c r="E140" s="161"/>
      <c r="F140" s="161"/>
    </row>
    <row r="141" spans="1:6">
      <c r="A141" s="291"/>
      <c r="B141" s="291"/>
      <c r="C141" s="161"/>
      <c r="D141" s="162" t="s">
        <v>1396</v>
      </c>
      <c r="E141" s="162" t="s">
        <v>1397</v>
      </c>
      <c r="F141" s="162" t="s">
        <v>1396</v>
      </c>
    </row>
    <row r="142" spans="1:6">
      <c r="A142" s="291"/>
      <c r="B142" s="291"/>
      <c r="C142" s="161"/>
      <c r="D142" s="161"/>
      <c r="E142" s="161"/>
      <c r="F142" s="161"/>
    </row>
    <row r="143" spans="1:6">
      <c r="A143" s="291"/>
      <c r="B143" s="291"/>
      <c r="C143" s="161"/>
      <c r="D143" s="162" t="s">
        <v>1398</v>
      </c>
      <c r="E143" s="162" t="s">
        <v>1399</v>
      </c>
      <c r="F143" s="162" t="s">
        <v>1398</v>
      </c>
    </row>
    <row r="144" spans="1:6">
      <c r="A144" s="291"/>
      <c r="B144" s="291"/>
      <c r="C144" s="161"/>
      <c r="D144" s="161"/>
      <c r="E144" s="161"/>
      <c r="F144" s="161"/>
    </row>
    <row r="145" spans="1:6">
      <c r="A145" s="291"/>
      <c r="B145" s="291"/>
      <c r="C145" s="161"/>
      <c r="D145" s="162" t="s">
        <v>1266</v>
      </c>
      <c r="E145" s="162" t="s">
        <v>1400</v>
      </c>
      <c r="F145" s="162">
        <v>28</v>
      </c>
    </row>
    <row r="146" spans="1:6">
      <c r="A146" s="283"/>
      <c r="B146" s="283"/>
      <c r="C146" s="161"/>
      <c r="D146" s="161"/>
      <c r="E146" s="162" t="s">
        <v>1401</v>
      </c>
      <c r="F146" s="162">
        <v>7</v>
      </c>
    </row>
    <row r="147" spans="1:6">
      <c r="A147" s="297">
        <v>14</v>
      </c>
      <c r="B147" s="300" t="s">
        <v>1402</v>
      </c>
      <c r="C147" s="160"/>
      <c r="D147" s="164" t="s">
        <v>1403</v>
      </c>
      <c r="E147" s="164" t="s">
        <v>1404</v>
      </c>
      <c r="F147" s="167">
        <v>46237</v>
      </c>
    </row>
    <row r="148" spans="1:6">
      <c r="A148" s="291"/>
      <c r="B148" s="291"/>
      <c r="C148" s="160"/>
      <c r="D148" s="160"/>
      <c r="E148" s="160"/>
      <c r="F148" s="160"/>
    </row>
    <row r="149" spans="1:6">
      <c r="A149" s="291"/>
      <c r="B149" s="291"/>
      <c r="C149" s="160"/>
      <c r="D149" s="164" t="s">
        <v>1405</v>
      </c>
      <c r="E149" s="164" t="s">
        <v>1406</v>
      </c>
      <c r="F149" s="171">
        <v>46237.845833333333</v>
      </c>
    </row>
    <row r="150" spans="1:6">
      <c r="A150" s="291"/>
      <c r="B150" s="291"/>
      <c r="C150" s="160"/>
      <c r="D150" s="160"/>
      <c r="E150" s="160"/>
      <c r="F150" s="160"/>
    </row>
    <row r="151" spans="1:6">
      <c r="A151" s="291"/>
      <c r="B151" s="291"/>
      <c r="C151" s="160"/>
      <c r="D151" s="164" t="s">
        <v>1407</v>
      </c>
      <c r="E151" s="164" t="s">
        <v>1408</v>
      </c>
      <c r="F151" s="164">
        <v>2026</v>
      </c>
    </row>
    <row r="152" spans="1:6">
      <c r="A152" s="291"/>
      <c r="B152" s="291"/>
      <c r="C152" s="160"/>
      <c r="D152" s="160"/>
      <c r="E152" s="160"/>
      <c r="F152" s="160"/>
    </row>
    <row r="153" spans="1:6">
      <c r="A153" s="291"/>
      <c r="B153" s="291"/>
      <c r="C153" s="160"/>
      <c r="D153" s="164" t="s">
        <v>1409</v>
      </c>
      <c r="E153" s="164" t="s">
        <v>1410</v>
      </c>
      <c r="F153" s="164">
        <v>3</v>
      </c>
    </row>
    <row r="154" spans="1:6">
      <c r="A154" s="291"/>
      <c r="B154" s="291"/>
      <c r="C154" s="160"/>
      <c r="D154" s="160"/>
      <c r="E154" s="160"/>
      <c r="F154" s="160"/>
    </row>
    <row r="155" spans="1:6">
      <c r="A155" s="291"/>
      <c r="B155" s="291"/>
      <c r="C155" s="160"/>
      <c r="D155" s="164" t="s">
        <v>1411</v>
      </c>
      <c r="E155" s="164" t="s">
        <v>1412</v>
      </c>
      <c r="F155" s="164">
        <v>8</v>
      </c>
    </row>
    <row r="156" spans="1:6">
      <c r="A156" s="283"/>
      <c r="B156" s="283"/>
      <c r="C156" s="160"/>
      <c r="D156" s="160"/>
      <c r="E156" s="160"/>
      <c r="F156" s="160"/>
    </row>
    <row r="157" spans="1:6">
      <c r="A157" s="297">
        <v>15</v>
      </c>
      <c r="B157" s="300" t="s">
        <v>148</v>
      </c>
      <c r="C157" s="161"/>
      <c r="D157" s="162">
        <v>12345</v>
      </c>
      <c r="E157" s="162" t="s">
        <v>1413</v>
      </c>
      <c r="F157" s="162">
        <v>12345</v>
      </c>
    </row>
    <row r="158" spans="1:6">
      <c r="A158" s="291"/>
      <c r="B158" s="291"/>
      <c r="C158" s="161"/>
      <c r="D158" s="161"/>
      <c r="E158" s="161"/>
      <c r="F158" s="161"/>
    </row>
    <row r="159" spans="1:6">
      <c r="A159" s="291"/>
      <c r="B159" s="291"/>
      <c r="C159" s="161"/>
      <c r="D159" s="168">
        <v>46237</v>
      </c>
      <c r="E159" s="162" t="s">
        <v>1414</v>
      </c>
      <c r="F159" s="162">
        <v>46089</v>
      </c>
    </row>
    <row r="160" spans="1:6">
      <c r="A160" s="291"/>
      <c r="B160" s="291"/>
      <c r="C160" s="161"/>
      <c r="D160" s="161"/>
      <c r="E160" s="161"/>
      <c r="F160" s="161"/>
    </row>
    <row r="161" spans="1:6">
      <c r="A161" s="291"/>
      <c r="B161" s="291"/>
      <c r="C161" s="161"/>
      <c r="D161" s="172">
        <v>46237.5</v>
      </c>
      <c r="E161" s="162" t="s">
        <v>1415</v>
      </c>
      <c r="F161" s="173">
        <v>0.5</v>
      </c>
    </row>
    <row r="162" spans="1:6">
      <c r="A162" s="291"/>
      <c r="B162" s="291"/>
      <c r="C162" s="161"/>
      <c r="D162" s="161"/>
      <c r="E162" s="161"/>
      <c r="F162" s="161"/>
    </row>
    <row r="163" spans="1:6">
      <c r="A163" s="291"/>
      <c r="B163" s="291"/>
      <c r="C163" s="161"/>
      <c r="D163" s="162">
        <v>50</v>
      </c>
      <c r="E163" s="162" t="s">
        <v>1416</v>
      </c>
      <c r="F163" s="162">
        <v>60</v>
      </c>
    </row>
    <row r="164" spans="1:6">
      <c r="A164" s="291"/>
      <c r="B164" s="291"/>
      <c r="C164" s="161"/>
      <c r="D164" s="161"/>
      <c r="E164" s="161"/>
      <c r="F164" s="161"/>
    </row>
    <row r="165" spans="1:6">
      <c r="A165" s="291"/>
      <c r="B165" s="291"/>
      <c r="C165" s="161"/>
      <c r="D165" s="162">
        <v>70</v>
      </c>
      <c r="E165" s="162" t="s">
        <v>1417</v>
      </c>
      <c r="F165" s="162">
        <v>70</v>
      </c>
    </row>
    <row r="166" spans="1:6">
      <c r="A166" s="283"/>
      <c r="B166" s="283"/>
      <c r="C166" s="161"/>
      <c r="D166" s="161"/>
      <c r="E166" s="161"/>
      <c r="F166" s="161"/>
    </row>
    <row r="167" spans="1:6">
      <c r="A167" s="298">
        <v>16</v>
      </c>
      <c r="B167" s="300" t="s">
        <v>101</v>
      </c>
      <c r="C167" s="160"/>
      <c r="D167" s="164" t="s">
        <v>1418</v>
      </c>
      <c r="E167" s="164" t="s">
        <v>1419</v>
      </c>
      <c r="F167" s="164" t="s">
        <v>1420</v>
      </c>
    </row>
    <row r="168" spans="1:6">
      <c r="A168" s="299"/>
      <c r="B168" s="291"/>
      <c r="C168" s="160"/>
      <c r="D168" s="160"/>
      <c r="E168" s="160"/>
      <c r="F168" s="160"/>
    </row>
    <row r="169" spans="1:6">
      <c r="A169" s="299"/>
      <c r="B169" s="291"/>
      <c r="C169" s="160"/>
      <c r="D169" s="164" t="s">
        <v>1421</v>
      </c>
      <c r="E169" s="164" t="s">
        <v>1422</v>
      </c>
      <c r="F169" s="164" t="s">
        <v>1423</v>
      </c>
    </row>
    <row r="170" spans="1:6">
      <c r="A170" s="299"/>
      <c r="B170" s="291"/>
      <c r="C170" s="160"/>
      <c r="D170" s="160"/>
      <c r="E170" s="160"/>
      <c r="F170" s="160"/>
    </row>
    <row r="171" spans="1:6">
      <c r="A171" s="299"/>
      <c r="B171" s="291"/>
      <c r="C171" s="160"/>
      <c r="D171" s="164" t="s">
        <v>1424</v>
      </c>
      <c r="E171" s="164" t="s">
        <v>1425</v>
      </c>
      <c r="F171" s="164" t="s">
        <v>1426</v>
      </c>
    </row>
    <row r="172" spans="1:6">
      <c r="A172" s="299"/>
      <c r="B172" s="291"/>
      <c r="C172" s="160"/>
      <c r="D172" s="160"/>
      <c r="E172" s="160"/>
      <c r="F172" s="160"/>
    </row>
    <row r="173" spans="1:6">
      <c r="A173" s="299"/>
      <c r="B173" s="291"/>
      <c r="C173" s="160"/>
      <c r="D173" s="164" t="s">
        <v>1427</v>
      </c>
      <c r="E173" s="164" t="s">
        <v>1428</v>
      </c>
      <c r="F173" s="164" t="s">
        <v>1429</v>
      </c>
    </row>
    <row r="174" spans="1:6">
      <c r="A174" s="299"/>
      <c r="B174" s="291"/>
      <c r="C174" s="160"/>
      <c r="D174" s="160"/>
      <c r="E174" s="160"/>
      <c r="F174" s="160"/>
    </row>
    <row r="175" spans="1:6">
      <c r="A175" s="299"/>
      <c r="B175" s="291"/>
      <c r="C175" s="160"/>
      <c r="D175" s="164" t="s">
        <v>1430</v>
      </c>
      <c r="E175" s="164" t="s">
        <v>1431</v>
      </c>
      <c r="F175" s="164" t="s">
        <v>1432</v>
      </c>
    </row>
    <row r="176" spans="1:6">
      <c r="A176" s="299"/>
      <c r="B176" s="291"/>
      <c r="C176" s="160"/>
      <c r="D176" s="160"/>
      <c r="E176" s="160"/>
      <c r="F176" s="160"/>
    </row>
    <row r="177" spans="1:6">
      <c r="A177" s="158"/>
      <c r="B177" s="174"/>
      <c r="C177" s="161"/>
      <c r="D177" s="161"/>
      <c r="E177" s="161"/>
      <c r="F177" s="161"/>
    </row>
    <row r="178" spans="1:6">
      <c r="A178" s="175"/>
      <c r="B178" s="176"/>
      <c r="C178" s="161"/>
      <c r="D178" s="161"/>
      <c r="E178" s="161"/>
      <c r="F178" s="161"/>
    </row>
    <row r="179" spans="1:6">
      <c r="A179" s="177"/>
      <c r="B179" s="178"/>
    </row>
    <row r="180" spans="1:6">
      <c r="A180" s="177"/>
      <c r="B180" s="178"/>
    </row>
    <row r="181" spans="1:6">
      <c r="A181" s="177"/>
      <c r="B181" s="178"/>
    </row>
    <row r="182" spans="1:6">
      <c r="A182" s="177"/>
      <c r="B182" s="178"/>
    </row>
    <row r="183" spans="1:6">
      <c r="A183" s="177"/>
      <c r="B183" s="178"/>
    </row>
    <row r="184" spans="1:6">
      <c r="A184" s="177"/>
      <c r="B184" s="178"/>
    </row>
    <row r="185" spans="1:6">
      <c r="A185" s="177"/>
      <c r="B185" s="178"/>
    </row>
    <row r="186" spans="1:6">
      <c r="A186" s="177"/>
      <c r="B186" s="178"/>
    </row>
    <row r="187" spans="1:6">
      <c r="A187" s="177"/>
      <c r="B187" s="178"/>
    </row>
    <row r="188" spans="1:6">
      <c r="A188" s="177"/>
      <c r="B188" s="178"/>
    </row>
    <row r="189" spans="1:6">
      <c r="A189" s="177"/>
      <c r="B189" s="178"/>
    </row>
    <row r="190" spans="1:6">
      <c r="A190" s="177"/>
      <c r="B190" s="178"/>
    </row>
    <row r="191" spans="1:6">
      <c r="A191" s="177"/>
      <c r="B191" s="178"/>
    </row>
    <row r="192" spans="1:6">
      <c r="A192" s="177"/>
      <c r="B192" s="178"/>
    </row>
    <row r="193" spans="1:2">
      <c r="A193" s="177"/>
      <c r="B193" s="178"/>
    </row>
    <row r="194" spans="1:2">
      <c r="A194" s="177"/>
      <c r="B194" s="178"/>
    </row>
    <row r="195" spans="1:2">
      <c r="A195" s="177"/>
      <c r="B195" s="178"/>
    </row>
    <row r="196" spans="1:2">
      <c r="A196" s="177"/>
      <c r="B196" s="178"/>
    </row>
    <row r="197" spans="1:2">
      <c r="A197" s="177"/>
      <c r="B197" s="178"/>
    </row>
    <row r="198" spans="1:2">
      <c r="A198" s="177"/>
      <c r="B198" s="178"/>
    </row>
    <row r="199" spans="1:2">
      <c r="A199" s="177"/>
      <c r="B199" s="178"/>
    </row>
    <row r="200" spans="1:2">
      <c r="A200" s="177"/>
      <c r="B200" s="178"/>
    </row>
    <row r="201" spans="1:2">
      <c r="A201" s="177"/>
      <c r="B201" s="178"/>
    </row>
    <row r="202" spans="1:2">
      <c r="A202" s="177"/>
      <c r="B202" s="178"/>
    </row>
    <row r="203" spans="1:2">
      <c r="A203" s="177"/>
      <c r="B203" s="178"/>
    </row>
    <row r="204" spans="1:2">
      <c r="A204" s="177"/>
      <c r="B204" s="178"/>
    </row>
    <row r="205" spans="1:2">
      <c r="A205" s="177"/>
      <c r="B205" s="178"/>
    </row>
    <row r="206" spans="1:2">
      <c r="A206" s="177"/>
      <c r="B206" s="178"/>
    </row>
    <row r="207" spans="1:2">
      <c r="A207" s="177"/>
      <c r="B207" s="178"/>
    </row>
    <row r="208" spans="1:2">
      <c r="A208" s="177"/>
      <c r="B208" s="178"/>
    </row>
    <row r="209" spans="1:2">
      <c r="A209" s="177"/>
      <c r="B209" s="178"/>
    </row>
    <row r="210" spans="1:2">
      <c r="A210" s="177"/>
      <c r="B210" s="178"/>
    </row>
    <row r="211" spans="1:2">
      <c r="A211" s="177"/>
      <c r="B211" s="178"/>
    </row>
    <row r="212" spans="1:2">
      <c r="A212" s="177"/>
      <c r="B212" s="178"/>
    </row>
    <row r="213" spans="1:2">
      <c r="A213" s="177"/>
      <c r="B213" s="178"/>
    </row>
    <row r="214" spans="1:2">
      <c r="A214" s="177"/>
      <c r="B214" s="178"/>
    </row>
    <row r="215" spans="1:2">
      <c r="A215" s="177"/>
      <c r="B215" s="178"/>
    </row>
    <row r="216" spans="1:2">
      <c r="A216" s="177"/>
      <c r="B216" s="178"/>
    </row>
    <row r="217" spans="1:2">
      <c r="A217" s="177"/>
      <c r="B217" s="178"/>
    </row>
    <row r="218" spans="1:2">
      <c r="A218" s="177"/>
      <c r="B218" s="178"/>
    </row>
    <row r="219" spans="1:2">
      <c r="A219" s="177"/>
      <c r="B219" s="178"/>
    </row>
    <row r="220" spans="1:2">
      <c r="A220" s="177"/>
      <c r="B220" s="178"/>
    </row>
    <row r="221" spans="1:2">
      <c r="A221" s="177"/>
      <c r="B221" s="178"/>
    </row>
    <row r="222" spans="1:2">
      <c r="A222" s="177"/>
      <c r="B222" s="178"/>
    </row>
    <row r="223" spans="1:2">
      <c r="A223" s="177"/>
      <c r="B223" s="178"/>
    </row>
    <row r="224" spans="1:2">
      <c r="A224" s="177"/>
      <c r="B224" s="178"/>
    </row>
    <row r="225" spans="1:2">
      <c r="A225" s="177"/>
      <c r="B225" s="178"/>
    </row>
    <row r="226" spans="1:2">
      <c r="A226" s="177"/>
      <c r="B226" s="178"/>
    </row>
    <row r="227" spans="1:2">
      <c r="A227" s="177"/>
      <c r="B227" s="178"/>
    </row>
    <row r="228" spans="1:2">
      <c r="A228" s="177"/>
      <c r="B228" s="178"/>
    </row>
    <row r="229" spans="1:2">
      <c r="A229" s="177"/>
      <c r="B229" s="178"/>
    </row>
    <row r="230" spans="1:2">
      <c r="A230" s="177"/>
      <c r="B230" s="178"/>
    </row>
    <row r="231" spans="1:2">
      <c r="A231" s="177"/>
      <c r="B231" s="178"/>
    </row>
    <row r="232" spans="1:2">
      <c r="A232" s="177"/>
      <c r="B232" s="178"/>
    </row>
    <row r="233" spans="1:2">
      <c r="A233" s="177"/>
      <c r="B233" s="178"/>
    </row>
    <row r="234" spans="1:2">
      <c r="A234" s="177"/>
      <c r="B234" s="178"/>
    </row>
    <row r="235" spans="1:2">
      <c r="A235" s="177"/>
      <c r="B235" s="178"/>
    </row>
    <row r="236" spans="1:2">
      <c r="A236" s="177"/>
      <c r="B236" s="178"/>
    </row>
    <row r="237" spans="1:2">
      <c r="A237" s="177"/>
      <c r="B237" s="178"/>
    </row>
    <row r="238" spans="1:2">
      <c r="A238" s="177"/>
      <c r="B238" s="178"/>
    </row>
    <row r="239" spans="1:2">
      <c r="A239" s="177"/>
      <c r="B239" s="178"/>
    </row>
    <row r="240" spans="1:2">
      <c r="A240" s="177"/>
      <c r="B240" s="178"/>
    </row>
    <row r="241" spans="1:2">
      <c r="A241" s="177"/>
      <c r="B241" s="178"/>
    </row>
    <row r="242" spans="1:2">
      <c r="A242" s="177"/>
      <c r="B242" s="178"/>
    </row>
    <row r="243" spans="1:2">
      <c r="A243" s="177"/>
      <c r="B243" s="178"/>
    </row>
    <row r="244" spans="1:2">
      <c r="A244" s="177"/>
      <c r="B244" s="178"/>
    </row>
    <row r="245" spans="1:2">
      <c r="A245" s="177"/>
      <c r="B245" s="178"/>
    </row>
    <row r="246" spans="1:2">
      <c r="A246" s="177"/>
      <c r="B246" s="178"/>
    </row>
    <row r="247" spans="1:2">
      <c r="A247" s="177"/>
      <c r="B247" s="178"/>
    </row>
    <row r="248" spans="1:2">
      <c r="A248" s="177"/>
      <c r="B248" s="178"/>
    </row>
    <row r="249" spans="1:2">
      <c r="A249" s="177"/>
      <c r="B249" s="178"/>
    </row>
    <row r="250" spans="1:2">
      <c r="A250" s="177"/>
      <c r="B250" s="178"/>
    </row>
    <row r="251" spans="1:2">
      <c r="A251" s="177"/>
      <c r="B251" s="178"/>
    </row>
    <row r="252" spans="1:2">
      <c r="A252" s="177"/>
      <c r="B252" s="178"/>
    </row>
    <row r="253" spans="1:2">
      <c r="A253" s="177"/>
      <c r="B253" s="178"/>
    </row>
    <row r="254" spans="1:2">
      <c r="A254" s="177"/>
      <c r="B254" s="178"/>
    </row>
    <row r="255" spans="1:2">
      <c r="A255" s="177"/>
      <c r="B255" s="178"/>
    </row>
    <row r="256" spans="1:2">
      <c r="A256" s="177"/>
      <c r="B256" s="178"/>
    </row>
    <row r="257" spans="1:2">
      <c r="A257" s="177"/>
      <c r="B257" s="178"/>
    </row>
    <row r="258" spans="1:2">
      <c r="A258" s="177"/>
      <c r="B258" s="178"/>
    </row>
    <row r="259" spans="1:2">
      <c r="A259" s="177"/>
      <c r="B259" s="178"/>
    </row>
    <row r="260" spans="1:2">
      <c r="A260" s="177"/>
      <c r="B260" s="178"/>
    </row>
    <row r="261" spans="1:2">
      <c r="A261" s="177"/>
      <c r="B261" s="178"/>
    </row>
    <row r="262" spans="1:2">
      <c r="A262" s="177"/>
      <c r="B262" s="178"/>
    </row>
    <row r="263" spans="1:2">
      <c r="A263" s="177"/>
      <c r="B263" s="178"/>
    </row>
    <row r="264" spans="1:2">
      <c r="A264" s="177"/>
      <c r="B264" s="178"/>
    </row>
    <row r="265" spans="1:2">
      <c r="A265" s="177"/>
      <c r="B265" s="178"/>
    </row>
    <row r="266" spans="1:2">
      <c r="A266" s="177"/>
      <c r="B266" s="178"/>
    </row>
    <row r="267" spans="1:2">
      <c r="A267" s="177"/>
      <c r="B267" s="178"/>
    </row>
    <row r="268" spans="1:2">
      <c r="A268" s="177"/>
      <c r="B268" s="178"/>
    </row>
    <row r="269" spans="1:2">
      <c r="A269" s="177"/>
      <c r="B269" s="178"/>
    </row>
    <row r="270" spans="1:2">
      <c r="A270" s="177"/>
      <c r="B270" s="178"/>
    </row>
    <row r="271" spans="1:2">
      <c r="A271" s="177"/>
      <c r="B271" s="178"/>
    </row>
    <row r="272" spans="1:2">
      <c r="A272" s="177"/>
      <c r="B272" s="178"/>
    </row>
    <row r="273" spans="1:2">
      <c r="A273" s="177"/>
      <c r="B273" s="178"/>
    </row>
    <row r="274" spans="1:2">
      <c r="A274" s="177"/>
      <c r="B274" s="178"/>
    </row>
    <row r="275" spans="1:2">
      <c r="A275" s="177"/>
      <c r="B275" s="178"/>
    </row>
    <row r="276" spans="1:2">
      <c r="A276" s="177"/>
      <c r="B276" s="178"/>
    </row>
    <row r="277" spans="1:2">
      <c r="A277" s="177"/>
      <c r="B277" s="178"/>
    </row>
    <row r="278" spans="1:2">
      <c r="A278" s="177"/>
      <c r="B278" s="178"/>
    </row>
    <row r="279" spans="1:2">
      <c r="A279" s="177"/>
      <c r="B279" s="178"/>
    </row>
    <row r="280" spans="1:2">
      <c r="A280" s="177"/>
      <c r="B280" s="178"/>
    </row>
    <row r="281" spans="1:2">
      <c r="A281" s="177"/>
      <c r="B281" s="178"/>
    </row>
    <row r="282" spans="1:2">
      <c r="A282" s="177"/>
      <c r="B282" s="178"/>
    </row>
    <row r="283" spans="1:2">
      <c r="A283" s="177"/>
      <c r="B283" s="178"/>
    </row>
    <row r="284" spans="1:2">
      <c r="A284" s="177"/>
      <c r="B284" s="178"/>
    </row>
    <row r="285" spans="1:2">
      <c r="A285" s="177"/>
      <c r="B285" s="178"/>
    </row>
    <row r="286" spans="1:2">
      <c r="A286" s="177"/>
      <c r="B286" s="178"/>
    </row>
    <row r="287" spans="1:2">
      <c r="A287" s="177"/>
      <c r="B287" s="178"/>
    </row>
    <row r="288" spans="1:2">
      <c r="A288" s="177"/>
      <c r="B288" s="178"/>
    </row>
    <row r="289" spans="1:2">
      <c r="A289" s="177"/>
      <c r="B289" s="178"/>
    </row>
    <row r="290" spans="1:2">
      <c r="A290" s="177"/>
      <c r="B290" s="178"/>
    </row>
    <row r="291" spans="1:2">
      <c r="A291" s="177"/>
      <c r="B291" s="178"/>
    </row>
    <row r="292" spans="1:2">
      <c r="A292" s="177"/>
      <c r="B292" s="178"/>
    </row>
    <row r="293" spans="1:2">
      <c r="A293" s="177"/>
      <c r="B293" s="178"/>
    </row>
    <row r="294" spans="1:2">
      <c r="A294" s="177"/>
      <c r="B294" s="178"/>
    </row>
    <row r="295" spans="1:2">
      <c r="A295" s="177"/>
      <c r="B295" s="178"/>
    </row>
    <row r="296" spans="1:2">
      <c r="A296" s="177"/>
      <c r="B296" s="178"/>
    </row>
    <row r="297" spans="1:2">
      <c r="A297" s="177"/>
      <c r="B297" s="178"/>
    </row>
    <row r="298" spans="1:2">
      <c r="A298" s="177"/>
      <c r="B298" s="178"/>
    </row>
    <row r="299" spans="1:2">
      <c r="A299" s="177"/>
      <c r="B299" s="178"/>
    </row>
    <row r="300" spans="1:2">
      <c r="A300" s="177"/>
      <c r="B300" s="178"/>
    </row>
    <row r="301" spans="1:2">
      <c r="A301" s="177"/>
      <c r="B301" s="178"/>
    </row>
    <row r="302" spans="1:2">
      <c r="A302" s="177"/>
      <c r="B302" s="178"/>
    </row>
    <row r="303" spans="1:2">
      <c r="A303" s="177"/>
      <c r="B303" s="178"/>
    </row>
    <row r="304" spans="1:2">
      <c r="A304" s="177"/>
      <c r="B304" s="178"/>
    </row>
    <row r="305" spans="1:2">
      <c r="A305" s="177"/>
      <c r="B305" s="178"/>
    </row>
    <row r="306" spans="1:2">
      <c r="A306" s="177"/>
      <c r="B306" s="178"/>
    </row>
    <row r="307" spans="1:2">
      <c r="A307" s="177"/>
      <c r="B307" s="178"/>
    </row>
    <row r="308" spans="1:2">
      <c r="A308" s="177"/>
      <c r="B308" s="178"/>
    </row>
    <row r="309" spans="1:2">
      <c r="A309" s="177"/>
      <c r="B309" s="178"/>
    </row>
    <row r="310" spans="1:2">
      <c r="A310" s="177"/>
      <c r="B310" s="178"/>
    </row>
    <row r="311" spans="1:2">
      <c r="A311" s="177"/>
      <c r="B311" s="178"/>
    </row>
    <row r="312" spans="1:2">
      <c r="A312" s="177"/>
      <c r="B312" s="178"/>
    </row>
    <row r="313" spans="1:2">
      <c r="A313" s="177"/>
      <c r="B313" s="178"/>
    </row>
    <row r="314" spans="1:2">
      <c r="A314" s="177"/>
      <c r="B314" s="178"/>
    </row>
    <row r="315" spans="1:2">
      <c r="A315" s="177"/>
      <c r="B315" s="178"/>
    </row>
    <row r="316" spans="1:2">
      <c r="A316" s="177"/>
      <c r="B316" s="178"/>
    </row>
    <row r="317" spans="1:2">
      <c r="A317" s="177"/>
      <c r="B317" s="178"/>
    </row>
    <row r="318" spans="1:2">
      <c r="A318" s="177"/>
      <c r="B318" s="178"/>
    </row>
    <row r="319" spans="1:2">
      <c r="A319" s="177"/>
      <c r="B319" s="178"/>
    </row>
    <row r="320" spans="1:2">
      <c r="A320" s="177"/>
      <c r="B320" s="178"/>
    </row>
    <row r="321" spans="1:2">
      <c r="A321" s="177"/>
      <c r="B321" s="178"/>
    </row>
    <row r="322" spans="1:2">
      <c r="A322" s="177"/>
      <c r="B322" s="178"/>
    </row>
    <row r="323" spans="1:2">
      <c r="A323" s="177"/>
      <c r="B323" s="178"/>
    </row>
    <row r="324" spans="1:2">
      <c r="A324" s="177"/>
      <c r="B324" s="178"/>
    </row>
    <row r="325" spans="1:2">
      <c r="A325" s="177"/>
      <c r="B325" s="178"/>
    </row>
    <row r="326" spans="1:2">
      <c r="A326" s="177"/>
      <c r="B326" s="178"/>
    </row>
    <row r="327" spans="1:2">
      <c r="A327" s="177"/>
      <c r="B327" s="178"/>
    </row>
    <row r="328" spans="1:2">
      <c r="A328" s="177"/>
      <c r="B328" s="178"/>
    </row>
    <row r="329" spans="1:2">
      <c r="A329" s="177"/>
      <c r="B329" s="178"/>
    </row>
    <row r="330" spans="1:2">
      <c r="A330" s="177"/>
      <c r="B330" s="178"/>
    </row>
    <row r="331" spans="1:2">
      <c r="A331" s="177"/>
      <c r="B331" s="178"/>
    </row>
    <row r="332" spans="1:2">
      <c r="A332" s="177"/>
      <c r="B332" s="178"/>
    </row>
    <row r="333" spans="1:2">
      <c r="A333" s="177"/>
      <c r="B333" s="178"/>
    </row>
    <row r="334" spans="1:2">
      <c r="A334" s="177"/>
      <c r="B334" s="178"/>
    </row>
    <row r="335" spans="1:2">
      <c r="A335" s="177"/>
      <c r="B335" s="178"/>
    </row>
    <row r="336" spans="1:2">
      <c r="A336" s="177"/>
      <c r="B336" s="178"/>
    </row>
    <row r="337" spans="1:2">
      <c r="A337" s="177"/>
      <c r="B337" s="178"/>
    </row>
    <row r="338" spans="1:2">
      <c r="A338" s="177"/>
      <c r="B338" s="178"/>
    </row>
    <row r="339" spans="1:2">
      <c r="A339" s="177"/>
      <c r="B339" s="178"/>
    </row>
    <row r="340" spans="1:2">
      <c r="A340" s="177"/>
      <c r="B340" s="178"/>
    </row>
    <row r="341" spans="1:2">
      <c r="A341" s="177"/>
      <c r="B341" s="178"/>
    </row>
    <row r="342" spans="1:2">
      <c r="A342" s="177"/>
      <c r="B342" s="178"/>
    </row>
    <row r="343" spans="1:2">
      <c r="A343" s="177"/>
      <c r="B343" s="178"/>
    </row>
    <row r="344" spans="1:2">
      <c r="A344" s="177"/>
      <c r="B344" s="178"/>
    </row>
    <row r="345" spans="1:2">
      <c r="A345" s="177"/>
      <c r="B345" s="178"/>
    </row>
    <row r="346" spans="1:2">
      <c r="A346" s="177"/>
      <c r="B346" s="178"/>
    </row>
    <row r="347" spans="1:2">
      <c r="A347" s="177"/>
      <c r="B347" s="178"/>
    </row>
    <row r="348" spans="1:2">
      <c r="A348" s="177"/>
      <c r="B348" s="178"/>
    </row>
    <row r="349" spans="1:2">
      <c r="A349" s="177"/>
      <c r="B349" s="178"/>
    </row>
    <row r="350" spans="1:2">
      <c r="A350" s="177"/>
      <c r="B350" s="178"/>
    </row>
    <row r="351" spans="1:2">
      <c r="A351" s="177"/>
      <c r="B351" s="178"/>
    </row>
    <row r="352" spans="1:2">
      <c r="A352" s="177"/>
      <c r="B352" s="178"/>
    </row>
    <row r="353" spans="1:2">
      <c r="A353" s="177"/>
      <c r="B353" s="178"/>
    </row>
    <row r="354" spans="1:2">
      <c r="A354" s="177"/>
      <c r="B354" s="178"/>
    </row>
    <row r="355" spans="1:2">
      <c r="A355" s="177"/>
      <c r="B355" s="178"/>
    </row>
    <row r="356" spans="1:2">
      <c r="A356" s="177"/>
      <c r="B356" s="178"/>
    </row>
    <row r="357" spans="1:2">
      <c r="A357" s="177"/>
      <c r="B357" s="178"/>
    </row>
    <row r="358" spans="1:2">
      <c r="A358" s="177"/>
      <c r="B358" s="178"/>
    </row>
    <row r="359" spans="1:2">
      <c r="A359" s="177"/>
      <c r="B359" s="178"/>
    </row>
    <row r="360" spans="1:2">
      <c r="A360" s="177"/>
      <c r="B360" s="178"/>
    </row>
    <row r="361" spans="1:2">
      <c r="A361" s="177"/>
      <c r="B361" s="178"/>
    </row>
    <row r="362" spans="1:2">
      <c r="A362" s="177"/>
      <c r="B362" s="178"/>
    </row>
    <row r="363" spans="1:2">
      <c r="A363" s="177"/>
      <c r="B363" s="178"/>
    </row>
    <row r="364" spans="1:2">
      <c r="A364" s="177"/>
      <c r="B364" s="178"/>
    </row>
    <row r="365" spans="1:2">
      <c r="A365" s="177"/>
      <c r="B365" s="178"/>
    </row>
    <row r="366" spans="1:2">
      <c r="A366" s="177"/>
      <c r="B366" s="178"/>
    </row>
    <row r="367" spans="1:2">
      <c r="A367" s="177"/>
      <c r="B367" s="178"/>
    </row>
    <row r="368" spans="1:2">
      <c r="A368" s="177"/>
      <c r="B368" s="178"/>
    </row>
    <row r="369" spans="1:2">
      <c r="A369" s="177"/>
      <c r="B369" s="178"/>
    </row>
    <row r="370" spans="1:2">
      <c r="A370" s="177"/>
      <c r="B370" s="178"/>
    </row>
    <row r="371" spans="1:2">
      <c r="A371" s="177"/>
      <c r="B371" s="178"/>
    </row>
    <row r="372" spans="1:2">
      <c r="A372" s="177"/>
      <c r="B372" s="178"/>
    </row>
    <row r="373" spans="1:2">
      <c r="A373" s="177"/>
      <c r="B373" s="178"/>
    </row>
    <row r="374" spans="1:2">
      <c r="A374" s="177"/>
      <c r="B374" s="178"/>
    </row>
    <row r="375" spans="1:2">
      <c r="A375" s="177"/>
      <c r="B375" s="178"/>
    </row>
    <row r="376" spans="1:2">
      <c r="A376" s="177"/>
      <c r="B376" s="178"/>
    </row>
    <row r="377" spans="1:2">
      <c r="A377" s="177"/>
      <c r="B377" s="178"/>
    </row>
    <row r="378" spans="1:2">
      <c r="A378" s="177"/>
      <c r="B378" s="178"/>
    </row>
    <row r="379" spans="1:2">
      <c r="A379" s="177"/>
      <c r="B379" s="178"/>
    </row>
    <row r="380" spans="1:2">
      <c r="A380" s="177"/>
      <c r="B380" s="178"/>
    </row>
    <row r="381" spans="1:2">
      <c r="A381" s="177"/>
      <c r="B381" s="178"/>
    </row>
    <row r="382" spans="1:2">
      <c r="A382" s="177"/>
      <c r="B382" s="178"/>
    </row>
    <row r="383" spans="1:2">
      <c r="A383" s="177"/>
      <c r="B383" s="178"/>
    </row>
    <row r="384" spans="1:2">
      <c r="A384" s="177"/>
      <c r="B384" s="178"/>
    </row>
    <row r="385" spans="1:2">
      <c r="A385" s="177"/>
      <c r="B385" s="178"/>
    </row>
    <row r="386" spans="1:2">
      <c r="A386" s="177"/>
      <c r="B386" s="178"/>
    </row>
    <row r="387" spans="1:2">
      <c r="A387" s="177"/>
      <c r="B387" s="178"/>
    </row>
    <row r="388" spans="1:2">
      <c r="A388" s="177"/>
      <c r="B388" s="178"/>
    </row>
    <row r="389" spans="1:2">
      <c r="A389" s="177"/>
      <c r="B389" s="178"/>
    </row>
    <row r="390" spans="1:2">
      <c r="A390" s="177"/>
      <c r="B390" s="178"/>
    </row>
    <row r="391" spans="1:2">
      <c r="A391" s="177"/>
      <c r="B391" s="178"/>
    </row>
    <row r="392" spans="1:2">
      <c r="A392" s="177"/>
      <c r="B392" s="178"/>
    </row>
    <row r="393" spans="1:2">
      <c r="A393" s="177"/>
      <c r="B393" s="178"/>
    </row>
    <row r="394" spans="1:2">
      <c r="A394" s="177"/>
      <c r="B394" s="178"/>
    </row>
    <row r="395" spans="1:2">
      <c r="A395" s="177"/>
      <c r="B395" s="178"/>
    </row>
    <row r="396" spans="1:2">
      <c r="A396" s="177"/>
      <c r="B396" s="178"/>
    </row>
    <row r="397" spans="1:2">
      <c r="A397" s="177"/>
      <c r="B397" s="178"/>
    </row>
    <row r="398" spans="1:2">
      <c r="A398" s="177"/>
      <c r="B398" s="178"/>
    </row>
    <row r="399" spans="1:2">
      <c r="A399" s="177"/>
      <c r="B399" s="178"/>
    </row>
    <row r="400" spans="1:2">
      <c r="A400" s="177"/>
      <c r="B400" s="178"/>
    </row>
    <row r="401" spans="1:2">
      <c r="A401" s="177"/>
      <c r="B401" s="178"/>
    </row>
    <row r="402" spans="1:2">
      <c r="A402" s="177"/>
      <c r="B402" s="178"/>
    </row>
    <row r="403" spans="1:2">
      <c r="A403" s="177"/>
      <c r="B403" s="178"/>
    </row>
    <row r="404" spans="1:2">
      <c r="A404" s="177"/>
      <c r="B404" s="178"/>
    </row>
    <row r="405" spans="1:2">
      <c r="A405" s="177"/>
      <c r="B405" s="178"/>
    </row>
    <row r="406" spans="1:2">
      <c r="A406" s="177"/>
      <c r="B406" s="178"/>
    </row>
    <row r="407" spans="1:2">
      <c r="A407" s="177"/>
      <c r="B407" s="178"/>
    </row>
    <row r="408" spans="1:2">
      <c r="A408" s="177"/>
      <c r="B408" s="178"/>
    </row>
    <row r="409" spans="1:2">
      <c r="A409" s="177"/>
      <c r="B409" s="178"/>
    </row>
    <row r="410" spans="1:2">
      <c r="A410" s="177"/>
      <c r="B410" s="178"/>
    </row>
    <row r="411" spans="1:2">
      <c r="A411" s="177"/>
      <c r="B411" s="178"/>
    </row>
    <row r="412" spans="1:2">
      <c r="A412" s="177"/>
      <c r="B412" s="178"/>
    </row>
    <row r="413" spans="1:2">
      <c r="A413" s="177"/>
      <c r="B413" s="178"/>
    </row>
    <row r="414" spans="1:2">
      <c r="A414" s="177"/>
      <c r="B414" s="178"/>
    </row>
    <row r="415" spans="1:2">
      <c r="A415" s="177"/>
      <c r="B415" s="178"/>
    </row>
    <row r="416" spans="1:2">
      <c r="A416" s="177"/>
      <c r="B416" s="178"/>
    </row>
    <row r="417" spans="1:2">
      <c r="A417" s="177"/>
      <c r="B417" s="178"/>
    </row>
    <row r="418" spans="1:2">
      <c r="A418" s="177"/>
      <c r="B418" s="178"/>
    </row>
    <row r="419" spans="1:2">
      <c r="A419" s="177"/>
      <c r="B419" s="178"/>
    </row>
    <row r="420" spans="1:2">
      <c r="A420" s="177"/>
      <c r="B420" s="178"/>
    </row>
    <row r="421" spans="1:2">
      <c r="A421" s="177"/>
      <c r="B421" s="178"/>
    </row>
    <row r="422" spans="1:2">
      <c r="A422" s="177"/>
      <c r="B422" s="178"/>
    </row>
    <row r="423" spans="1:2">
      <c r="A423" s="177"/>
      <c r="B423" s="178"/>
    </row>
    <row r="424" spans="1:2">
      <c r="A424" s="177"/>
      <c r="B424" s="178"/>
    </row>
    <row r="425" spans="1:2">
      <c r="A425" s="177"/>
      <c r="B425" s="178"/>
    </row>
    <row r="426" spans="1:2">
      <c r="A426" s="177"/>
      <c r="B426" s="178"/>
    </row>
    <row r="427" spans="1:2">
      <c r="A427" s="177"/>
      <c r="B427" s="178"/>
    </row>
    <row r="428" spans="1:2">
      <c r="A428" s="177"/>
      <c r="B428" s="178"/>
    </row>
    <row r="429" spans="1:2">
      <c r="A429" s="177"/>
      <c r="B429" s="178"/>
    </row>
    <row r="430" spans="1:2">
      <c r="A430" s="177"/>
      <c r="B430" s="178"/>
    </row>
    <row r="431" spans="1:2">
      <c r="A431" s="177"/>
      <c r="B431" s="178"/>
    </row>
    <row r="432" spans="1:2">
      <c r="A432" s="177"/>
      <c r="B432" s="178"/>
    </row>
    <row r="433" spans="1:2">
      <c r="A433" s="177"/>
      <c r="B433" s="178"/>
    </row>
    <row r="434" spans="1:2">
      <c r="A434" s="177"/>
      <c r="B434" s="178"/>
    </row>
    <row r="435" spans="1:2">
      <c r="A435" s="177"/>
      <c r="B435" s="178"/>
    </row>
    <row r="436" spans="1:2">
      <c r="A436" s="177"/>
      <c r="B436" s="178"/>
    </row>
    <row r="437" spans="1:2">
      <c r="A437" s="177"/>
      <c r="B437" s="178"/>
    </row>
    <row r="438" spans="1:2">
      <c r="A438" s="177"/>
      <c r="B438" s="178"/>
    </row>
    <row r="439" spans="1:2">
      <c r="A439" s="177"/>
      <c r="B439" s="178"/>
    </row>
    <row r="440" spans="1:2">
      <c r="A440" s="177"/>
      <c r="B440" s="178"/>
    </row>
    <row r="441" spans="1:2">
      <c r="A441" s="177"/>
      <c r="B441" s="178"/>
    </row>
    <row r="442" spans="1:2">
      <c r="A442" s="177"/>
      <c r="B442" s="178"/>
    </row>
    <row r="443" spans="1:2">
      <c r="A443" s="177"/>
      <c r="B443" s="178"/>
    </row>
    <row r="444" spans="1:2">
      <c r="A444" s="177"/>
      <c r="B444" s="178"/>
    </row>
    <row r="445" spans="1:2">
      <c r="A445" s="177"/>
      <c r="B445" s="178"/>
    </row>
    <row r="446" spans="1:2">
      <c r="A446" s="177"/>
      <c r="B446" s="178"/>
    </row>
    <row r="447" spans="1:2">
      <c r="A447" s="177"/>
      <c r="B447" s="178"/>
    </row>
    <row r="448" spans="1:2">
      <c r="A448" s="177"/>
      <c r="B448" s="178"/>
    </row>
    <row r="449" spans="1:2">
      <c r="A449" s="177"/>
      <c r="B449" s="178"/>
    </row>
    <row r="450" spans="1:2">
      <c r="A450" s="177"/>
      <c r="B450" s="178"/>
    </row>
    <row r="451" spans="1:2">
      <c r="A451" s="177"/>
      <c r="B451" s="178"/>
    </row>
    <row r="452" spans="1:2">
      <c r="A452" s="177"/>
      <c r="B452" s="178"/>
    </row>
    <row r="453" spans="1:2">
      <c r="A453" s="177"/>
      <c r="B453" s="178"/>
    </row>
    <row r="454" spans="1:2">
      <c r="A454" s="177"/>
      <c r="B454" s="178"/>
    </row>
    <row r="455" spans="1:2">
      <c r="A455" s="177"/>
      <c r="B455" s="178"/>
    </row>
    <row r="456" spans="1:2">
      <c r="A456" s="177"/>
      <c r="B456" s="178"/>
    </row>
    <row r="457" spans="1:2">
      <c r="A457" s="177"/>
      <c r="B457" s="178"/>
    </row>
    <row r="458" spans="1:2">
      <c r="A458" s="177"/>
      <c r="B458" s="178"/>
    </row>
    <row r="459" spans="1:2">
      <c r="A459" s="177"/>
      <c r="B459" s="178"/>
    </row>
    <row r="460" spans="1:2">
      <c r="A460" s="177"/>
      <c r="B460" s="178"/>
    </row>
    <row r="461" spans="1:2">
      <c r="A461" s="177"/>
      <c r="B461" s="178"/>
    </row>
    <row r="462" spans="1:2">
      <c r="A462" s="177"/>
      <c r="B462" s="178"/>
    </row>
    <row r="463" spans="1:2">
      <c r="A463" s="177"/>
      <c r="B463" s="178"/>
    </row>
    <row r="464" spans="1:2">
      <c r="A464" s="177"/>
      <c r="B464" s="178"/>
    </row>
    <row r="465" spans="1:2">
      <c r="A465" s="177"/>
      <c r="B465" s="178"/>
    </row>
    <row r="466" spans="1:2">
      <c r="A466" s="177"/>
      <c r="B466" s="178"/>
    </row>
    <row r="467" spans="1:2">
      <c r="A467" s="177"/>
      <c r="B467" s="178"/>
    </row>
    <row r="468" spans="1:2">
      <c r="A468" s="177"/>
      <c r="B468" s="178"/>
    </row>
    <row r="469" spans="1:2">
      <c r="A469" s="177"/>
      <c r="B469" s="178"/>
    </row>
    <row r="470" spans="1:2">
      <c r="A470" s="177"/>
      <c r="B470" s="178"/>
    </row>
    <row r="471" spans="1:2">
      <c r="A471" s="177"/>
      <c r="B471" s="178"/>
    </row>
    <row r="472" spans="1:2">
      <c r="A472" s="177"/>
      <c r="B472" s="178"/>
    </row>
    <row r="473" spans="1:2">
      <c r="A473" s="177"/>
      <c r="B473" s="178"/>
    </row>
    <row r="474" spans="1:2">
      <c r="A474" s="177"/>
      <c r="B474" s="178"/>
    </row>
    <row r="475" spans="1:2">
      <c r="A475" s="177"/>
      <c r="B475" s="178"/>
    </row>
    <row r="476" spans="1:2">
      <c r="A476" s="177"/>
      <c r="B476" s="178"/>
    </row>
    <row r="477" spans="1:2">
      <c r="A477" s="177"/>
      <c r="B477" s="178"/>
    </row>
    <row r="478" spans="1:2">
      <c r="A478" s="177"/>
      <c r="B478" s="178"/>
    </row>
    <row r="479" spans="1:2">
      <c r="A479" s="177"/>
      <c r="B479" s="178"/>
    </row>
    <row r="480" spans="1:2">
      <c r="A480" s="177"/>
      <c r="B480" s="178"/>
    </row>
    <row r="481" spans="1:2">
      <c r="A481" s="177"/>
      <c r="B481" s="178"/>
    </row>
    <row r="482" spans="1:2">
      <c r="A482" s="177"/>
      <c r="B482" s="178"/>
    </row>
    <row r="483" spans="1:2">
      <c r="A483" s="177"/>
      <c r="B483" s="178"/>
    </row>
    <row r="484" spans="1:2">
      <c r="A484" s="177"/>
      <c r="B484" s="178"/>
    </row>
    <row r="485" spans="1:2">
      <c r="A485" s="177"/>
      <c r="B485" s="178"/>
    </row>
    <row r="486" spans="1:2">
      <c r="A486" s="177"/>
      <c r="B486" s="178"/>
    </row>
    <row r="487" spans="1:2">
      <c r="A487" s="177"/>
      <c r="B487" s="178"/>
    </row>
    <row r="488" spans="1:2">
      <c r="A488" s="177"/>
      <c r="B488" s="178"/>
    </row>
    <row r="489" spans="1:2">
      <c r="A489" s="177"/>
      <c r="B489" s="178"/>
    </row>
    <row r="490" spans="1:2">
      <c r="A490" s="177"/>
      <c r="B490" s="178"/>
    </row>
    <row r="491" spans="1:2">
      <c r="A491" s="177"/>
      <c r="B491" s="178"/>
    </row>
    <row r="492" spans="1:2">
      <c r="A492" s="177"/>
      <c r="B492" s="178"/>
    </row>
    <row r="493" spans="1:2">
      <c r="A493" s="177"/>
      <c r="B493" s="178"/>
    </row>
    <row r="494" spans="1:2">
      <c r="A494" s="177"/>
      <c r="B494" s="178"/>
    </row>
    <row r="495" spans="1:2">
      <c r="A495" s="177"/>
      <c r="B495" s="178"/>
    </row>
    <row r="496" spans="1:2">
      <c r="A496" s="177"/>
      <c r="B496" s="178"/>
    </row>
    <row r="497" spans="1:2">
      <c r="A497" s="177"/>
      <c r="B497" s="178"/>
    </row>
    <row r="498" spans="1:2">
      <c r="A498" s="177"/>
      <c r="B498" s="178"/>
    </row>
    <row r="499" spans="1:2">
      <c r="A499" s="177"/>
      <c r="B499" s="178"/>
    </row>
    <row r="500" spans="1:2">
      <c r="A500" s="177"/>
      <c r="B500" s="178"/>
    </row>
    <row r="501" spans="1:2">
      <c r="A501" s="177"/>
      <c r="B501" s="178"/>
    </row>
    <row r="502" spans="1:2">
      <c r="A502" s="177"/>
      <c r="B502" s="178"/>
    </row>
    <row r="503" spans="1:2">
      <c r="A503" s="177"/>
      <c r="B503" s="178"/>
    </row>
    <row r="504" spans="1:2">
      <c r="A504" s="177"/>
      <c r="B504" s="178"/>
    </row>
    <row r="505" spans="1:2">
      <c r="A505" s="177"/>
      <c r="B505" s="178"/>
    </row>
    <row r="506" spans="1:2">
      <c r="A506" s="177"/>
      <c r="B506" s="178"/>
    </row>
    <row r="507" spans="1:2">
      <c r="A507" s="177"/>
      <c r="B507" s="178"/>
    </row>
    <row r="508" spans="1:2">
      <c r="A508" s="177"/>
      <c r="B508" s="178"/>
    </row>
    <row r="509" spans="1:2">
      <c r="A509" s="177"/>
      <c r="B509" s="178"/>
    </row>
    <row r="510" spans="1:2">
      <c r="A510" s="177"/>
      <c r="B510" s="178"/>
    </row>
    <row r="511" spans="1:2">
      <c r="A511" s="177"/>
      <c r="B511" s="178"/>
    </row>
    <row r="512" spans="1:2">
      <c r="A512" s="177"/>
      <c r="B512" s="178"/>
    </row>
    <row r="513" spans="1:2">
      <c r="A513" s="177"/>
      <c r="B513" s="178"/>
    </row>
    <row r="514" spans="1:2">
      <c r="A514" s="177"/>
      <c r="B514" s="178"/>
    </row>
    <row r="515" spans="1:2">
      <c r="A515" s="177"/>
      <c r="B515" s="178"/>
    </row>
    <row r="516" spans="1:2">
      <c r="A516" s="177"/>
      <c r="B516" s="178"/>
    </row>
    <row r="517" spans="1:2">
      <c r="A517" s="177"/>
      <c r="B517" s="178"/>
    </row>
    <row r="518" spans="1:2">
      <c r="A518" s="177"/>
      <c r="B518" s="178"/>
    </row>
    <row r="519" spans="1:2">
      <c r="A519" s="177"/>
      <c r="B519" s="178"/>
    </row>
    <row r="520" spans="1:2">
      <c r="A520" s="177"/>
      <c r="B520" s="178"/>
    </row>
    <row r="521" spans="1:2">
      <c r="A521" s="177"/>
      <c r="B521" s="178"/>
    </row>
    <row r="522" spans="1:2">
      <c r="A522" s="177"/>
      <c r="B522" s="178"/>
    </row>
    <row r="523" spans="1:2">
      <c r="A523" s="177"/>
      <c r="B523" s="178"/>
    </row>
    <row r="524" spans="1:2">
      <c r="A524" s="177"/>
      <c r="B524" s="178"/>
    </row>
    <row r="525" spans="1:2">
      <c r="A525" s="177"/>
      <c r="B525" s="178"/>
    </row>
    <row r="526" spans="1:2">
      <c r="A526" s="177"/>
      <c r="B526" s="178"/>
    </row>
    <row r="527" spans="1:2">
      <c r="A527" s="177"/>
      <c r="B527" s="178"/>
    </row>
    <row r="528" spans="1:2">
      <c r="A528" s="177"/>
      <c r="B528" s="178"/>
    </row>
    <row r="529" spans="1:2">
      <c r="A529" s="177"/>
      <c r="B529" s="178"/>
    </row>
    <row r="530" spans="1:2">
      <c r="A530" s="177"/>
      <c r="B530" s="178"/>
    </row>
    <row r="531" spans="1:2">
      <c r="A531" s="177"/>
      <c r="B531" s="178"/>
    </row>
    <row r="532" spans="1:2">
      <c r="A532" s="177"/>
      <c r="B532" s="178"/>
    </row>
    <row r="533" spans="1:2">
      <c r="A533" s="177"/>
      <c r="B533" s="178"/>
    </row>
    <row r="534" spans="1:2">
      <c r="A534" s="177"/>
      <c r="B534" s="178"/>
    </row>
    <row r="535" spans="1:2">
      <c r="A535" s="177"/>
      <c r="B535" s="178"/>
    </row>
    <row r="536" spans="1:2">
      <c r="A536" s="177"/>
      <c r="B536" s="178"/>
    </row>
    <row r="537" spans="1:2">
      <c r="A537" s="177"/>
      <c r="B537" s="178"/>
    </row>
    <row r="538" spans="1:2">
      <c r="A538" s="177"/>
      <c r="B538" s="178"/>
    </row>
    <row r="539" spans="1:2">
      <c r="A539" s="177"/>
      <c r="B539" s="178"/>
    </row>
    <row r="540" spans="1:2">
      <c r="A540" s="177"/>
      <c r="B540" s="178"/>
    </row>
    <row r="541" spans="1:2">
      <c r="A541" s="177"/>
      <c r="B541" s="178"/>
    </row>
    <row r="542" spans="1:2">
      <c r="A542" s="177"/>
      <c r="B542" s="178"/>
    </row>
    <row r="543" spans="1:2">
      <c r="A543" s="177"/>
      <c r="B543" s="178"/>
    </row>
    <row r="544" spans="1:2">
      <c r="A544" s="177"/>
      <c r="B544" s="178"/>
    </row>
    <row r="545" spans="1:2">
      <c r="A545" s="177"/>
      <c r="B545" s="178"/>
    </row>
    <row r="546" spans="1:2">
      <c r="A546" s="177"/>
      <c r="B546" s="178"/>
    </row>
    <row r="547" spans="1:2">
      <c r="A547" s="177"/>
      <c r="B547" s="178"/>
    </row>
    <row r="548" spans="1:2">
      <c r="A548" s="177"/>
      <c r="B548" s="178"/>
    </row>
    <row r="549" spans="1:2">
      <c r="A549" s="177"/>
      <c r="B549" s="178"/>
    </row>
    <row r="550" spans="1:2">
      <c r="A550" s="177"/>
      <c r="B550" s="178"/>
    </row>
    <row r="551" spans="1:2">
      <c r="A551" s="177"/>
      <c r="B551" s="178"/>
    </row>
    <row r="552" spans="1:2">
      <c r="A552" s="177"/>
      <c r="B552" s="178"/>
    </row>
    <row r="553" spans="1:2">
      <c r="A553" s="177"/>
      <c r="B553" s="178"/>
    </row>
    <row r="554" spans="1:2">
      <c r="A554" s="177"/>
      <c r="B554" s="178"/>
    </row>
    <row r="555" spans="1:2">
      <c r="A555" s="177"/>
      <c r="B555" s="178"/>
    </row>
    <row r="556" spans="1:2">
      <c r="A556" s="177"/>
      <c r="B556" s="178"/>
    </row>
    <row r="557" spans="1:2">
      <c r="A557" s="177"/>
      <c r="B557" s="178"/>
    </row>
    <row r="558" spans="1:2">
      <c r="A558" s="177"/>
      <c r="B558" s="178"/>
    </row>
    <row r="559" spans="1:2">
      <c r="A559" s="177"/>
      <c r="B559" s="178"/>
    </row>
    <row r="560" spans="1:2">
      <c r="A560" s="177"/>
      <c r="B560" s="178"/>
    </row>
    <row r="561" spans="1:2">
      <c r="A561" s="177"/>
      <c r="B561" s="178"/>
    </row>
    <row r="562" spans="1:2">
      <c r="A562" s="177"/>
      <c r="B562" s="178"/>
    </row>
    <row r="563" spans="1:2">
      <c r="A563" s="177"/>
      <c r="B563" s="178"/>
    </row>
    <row r="564" spans="1:2">
      <c r="A564" s="177"/>
      <c r="B564" s="178"/>
    </row>
    <row r="565" spans="1:2">
      <c r="A565" s="177"/>
      <c r="B565" s="178"/>
    </row>
    <row r="566" spans="1:2">
      <c r="A566" s="177"/>
      <c r="B566" s="178"/>
    </row>
    <row r="567" spans="1:2">
      <c r="A567" s="177"/>
      <c r="B567" s="178"/>
    </row>
    <row r="568" spans="1:2">
      <c r="A568" s="177"/>
      <c r="B568" s="178"/>
    </row>
    <row r="569" spans="1:2">
      <c r="A569" s="177"/>
      <c r="B569" s="178"/>
    </row>
    <row r="570" spans="1:2">
      <c r="A570" s="177"/>
      <c r="B570" s="178"/>
    </row>
    <row r="571" spans="1:2">
      <c r="A571" s="177"/>
      <c r="B571" s="178"/>
    </row>
    <row r="572" spans="1:2">
      <c r="A572" s="177"/>
      <c r="B572" s="178"/>
    </row>
    <row r="573" spans="1:2">
      <c r="A573" s="177"/>
      <c r="B573" s="178"/>
    </row>
    <row r="574" spans="1:2">
      <c r="A574" s="177"/>
      <c r="B574" s="178"/>
    </row>
    <row r="575" spans="1:2">
      <c r="A575" s="177"/>
      <c r="B575" s="178"/>
    </row>
    <row r="576" spans="1:2">
      <c r="A576" s="177"/>
      <c r="B576" s="178"/>
    </row>
    <row r="577" spans="1:2">
      <c r="A577" s="177"/>
      <c r="B577" s="178"/>
    </row>
    <row r="578" spans="1:2">
      <c r="A578" s="177"/>
      <c r="B578" s="178"/>
    </row>
    <row r="579" spans="1:2">
      <c r="A579" s="177"/>
      <c r="B579" s="178"/>
    </row>
    <row r="580" spans="1:2">
      <c r="A580" s="177"/>
      <c r="B580" s="178"/>
    </row>
    <row r="581" spans="1:2">
      <c r="A581" s="177"/>
      <c r="B581" s="178"/>
    </row>
    <row r="582" spans="1:2">
      <c r="A582" s="177"/>
      <c r="B582" s="178"/>
    </row>
    <row r="583" spans="1:2">
      <c r="A583" s="177"/>
      <c r="B583" s="178"/>
    </row>
    <row r="584" spans="1:2">
      <c r="A584" s="177"/>
      <c r="B584" s="178"/>
    </row>
    <row r="585" spans="1:2">
      <c r="A585" s="177"/>
      <c r="B585" s="178"/>
    </row>
    <row r="586" spans="1:2">
      <c r="A586" s="177"/>
      <c r="B586" s="178"/>
    </row>
    <row r="587" spans="1:2">
      <c r="A587" s="177"/>
      <c r="B587" s="178"/>
    </row>
    <row r="588" spans="1:2">
      <c r="A588" s="177"/>
      <c r="B588" s="178"/>
    </row>
    <row r="589" spans="1:2">
      <c r="A589" s="177"/>
      <c r="B589" s="178"/>
    </row>
    <row r="590" spans="1:2">
      <c r="A590" s="177"/>
      <c r="B590" s="178"/>
    </row>
    <row r="591" spans="1:2">
      <c r="A591" s="177"/>
      <c r="B591" s="178"/>
    </row>
    <row r="592" spans="1:2">
      <c r="A592" s="177"/>
      <c r="B592" s="178"/>
    </row>
    <row r="593" spans="1:2">
      <c r="A593" s="177"/>
      <c r="B593" s="178"/>
    </row>
    <row r="594" spans="1:2">
      <c r="A594" s="177"/>
      <c r="B594" s="178"/>
    </row>
    <row r="595" spans="1:2">
      <c r="A595" s="177"/>
      <c r="B595" s="178"/>
    </row>
    <row r="596" spans="1:2">
      <c r="A596" s="177"/>
      <c r="B596" s="178"/>
    </row>
    <row r="597" spans="1:2">
      <c r="A597" s="177"/>
      <c r="B597" s="178"/>
    </row>
    <row r="598" spans="1:2">
      <c r="A598" s="177"/>
      <c r="B598" s="178"/>
    </row>
    <row r="599" spans="1:2">
      <c r="A599" s="177"/>
      <c r="B599" s="178"/>
    </row>
    <row r="600" spans="1:2">
      <c r="A600" s="177"/>
      <c r="B600" s="178"/>
    </row>
    <row r="601" spans="1:2">
      <c r="A601" s="177"/>
      <c r="B601" s="178"/>
    </row>
    <row r="602" spans="1:2">
      <c r="A602" s="177"/>
      <c r="B602" s="178"/>
    </row>
    <row r="603" spans="1:2">
      <c r="A603" s="177"/>
      <c r="B603" s="178"/>
    </row>
    <row r="604" spans="1:2">
      <c r="A604" s="177"/>
      <c r="B604" s="178"/>
    </row>
    <row r="605" spans="1:2">
      <c r="A605" s="177"/>
      <c r="B605" s="178"/>
    </row>
    <row r="606" spans="1:2">
      <c r="A606" s="177"/>
      <c r="B606" s="178"/>
    </row>
    <row r="607" spans="1:2">
      <c r="A607" s="177"/>
      <c r="B607" s="178"/>
    </row>
    <row r="608" spans="1:2">
      <c r="A608" s="177"/>
      <c r="B608" s="178"/>
    </row>
    <row r="609" spans="1:2">
      <c r="A609" s="177"/>
      <c r="B609" s="178"/>
    </row>
    <row r="610" spans="1:2">
      <c r="A610" s="177"/>
      <c r="B610" s="178"/>
    </row>
    <row r="611" spans="1:2">
      <c r="A611" s="177"/>
      <c r="B611" s="178"/>
    </row>
    <row r="612" spans="1:2">
      <c r="A612" s="177"/>
      <c r="B612" s="178"/>
    </row>
    <row r="613" spans="1:2">
      <c r="A613" s="177"/>
      <c r="B613" s="178"/>
    </row>
    <row r="614" spans="1:2">
      <c r="A614" s="177"/>
      <c r="B614" s="178"/>
    </row>
    <row r="615" spans="1:2">
      <c r="A615" s="177"/>
      <c r="B615" s="178"/>
    </row>
    <row r="616" spans="1:2">
      <c r="A616" s="177"/>
      <c r="B616" s="178"/>
    </row>
    <row r="617" spans="1:2">
      <c r="A617" s="177"/>
      <c r="B617" s="178"/>
    </row>
    <row r="618" spans="1:2">
      <c r="A618" s="177"/>
      <c r="B618" s="178"/>
    </row>
    <row r="619" spans="1:2">
      <c r="A619" s="177"/>
      <c r="B619" s="178"/>
    </row>
    <row r="620" spans="1:2">
      <c r="A620" s="177"/>
      <c r="B620" s="178"/>
    </row>
    <row r="621" spans="1:2">
      <c r="A621" s="177"/>
      <c r="B621" s="178"/>
    </row>
    <row r="622" spans="1:2">
      <c r="A622" s="177"/>
      <c r="B622" s="178"/>
    </row>
    <row r="623" spans="1:2">
      <c r="A623" s="177"/>
      <c r="B623" s="178"/>
    </row>
    <row r="624" spans="1:2">
      <c r="A624" s="177"/>
      <c r="B624" s="178"/>
    </row>
    <row r="625" spans="1:2">
      <c r="A625" s="177"/>
      <c r="B625" s="178"/>
    </row>
    <row r="626" spans="1:2">
      <c r="A626" s="177"/>
      <c r="B626" s="178"/>
    </row>
    <row r="627" spans="1:2">
      <c r="A627" s="177"/>
      <c r="B627" s="178"/>
    </row>
    <row r="628" spans="1:2">
      <c r="A628" s="177"/>
      <c r="B628" s="178"/>
    </row>
    <row r="629" spans="1:2">
      <c r="A629" s="177"/>
      <c r="B629" s="178"/>
    </row>
    <row r="630" spans="1:2">
      <c r="A630" s="177"/>
      <c r="B630" s="178"/>
    </row>
    <row r="631" spans="1:2">
      <c r="A631" s="177"/>
      <c r="B631" s="178"/>
    </row>
    <row r="632" spans="1:2">
      <c r="A632" s="177"/>
      <c r="B632" s="178"/>
    </row>
    <row r="633" spans="1:2">
      <c r="A633" s="177"/>
      <c r="B633" s="178"/>
    </row>
    <row r="634" spans="1:2">
      <c r="A634" s="177"/>
      <c r="B634" s="178"/>
    </row>
    <row r="635" spans="1:2">
      <c r="A635" s="177"/>
      <c r="B635" s="178"/>
    </row>
    <row r="636" spans="1:2">
      <c r="A636" s="177"/>
      <c r="B636" s="178"/>
    </row>
    <row r="637" spans="1:2">
      <c r="A637" s="177"/>
      <c r="B637" s="178"/>
    </row>
    <row r="638" spans="1:2">
      <c r="A638" s="177"/>
      <c r="B638" s="178"/>
    </row>
    <row r="639" spans="1:2">
      <c r="A639" s="177"/>
      <c r="B639" s="178"/>
    </row>
    <row r="640" spans="1:2">
      <c r="A640" s="177"/>
      <c r="B640" s="178"/>
    </row>
    <row r="641" spans="1:2">
      <c r="A641" s="177"/>
      <c r="B641" s="178"/>
    </row>
    <row r="642" spans="1:2">
      <c r="A642" s="177"/>
      <c r="B642" s="178"/>
    </row>
    <row r="643" spans="1:2">
      <c r="A643" s="177"/>
      <c r="B643" s="178"/>
    </row>
    <row r="644" spans="1:2">
      <c r="A644" s="177"/>
      <c r="B644" s="178"/>
    </row>
    <row r="645" spans="1:2">
      <c r="A645" s="177"/>
      <c r="B645" s="178"/>
    </row>
    <row r="646" spans="1:2">
      <c r="A646" s="177"/>
      <c r="B646" s="178"/>
    </row>
    <row r="647" spans="1:2">
      <c r="A647" s="177"/>
      <c r="B647" s="178"/>
    </row>
    <row r="648" spans="1:2">
      <c r="A648" s="177"/>
      <c r="B648" s="178"/>
    </row>
    <row r="649" spans="1:2">
      <c r="A649" s="177"/>
      <c r="B649" s="178"/>
    </row>
    <row r="650" spans="1:2">
      <c r="A650" s="177"/>
      <c r="B650" s="178"/>
    </row>
    <row r="651" spans="1:2">
      <c r="A651" s="177"/>
      <c r="B651" s="178"/>
    </row>
    <row r="652" spans="1:2">
      <c r="A652" s="177"/>
      <c r="B652" s="178"/>
    </row>
    <row r="653" spans="1:2">
      <c r="A653" s="177"/>
      <c r="B653" s="178"/>
    </row>
    <row r="654" spans="1:2">
      <c r="A654" s="177"/>
      <c r="B654" s="178"/>
    </row>
    <row r="655" spans="1:2">
      <c r="A655" s="177"/>
      <c r="B655" s="178"/>
    </row>
    <row r="656" spans="1:2">
      <c r="A656" s="177"/>
      <c r="B656" s="178"/>
    </row>
    <row r="657" spans="1:2">
      <c r="A657" s="177"/>
      <c r="B657" s="178"/>
    </row>
    <row r="658" spans="1:2">
      <c r="A658" s="177"/>
      <c r="B658" s="178"/>
    </row>
    <row r="659" spans="1:2">
      <c r="A659" s="177"/>
      <c r="B659" s="178"/>
    </row>
    <row r="660" spans="1:2">
      <c r="A660" s="177"/>
      <c r="B660" s="178"/>
    </row>
    <row r="661" spans="1:2">
      <c r="A661" s="177"/>
      <c r="B661" s="178"/>
    </row>
    <row r="662" spans="1:2">
      <c r="A662" s="177"/>
      <c r="B662" s="178"/>
    </row>
    <row r="663" spans="1:2">
      <c r="A663" s="177"/>
      <c r="B663" s="178"/>
    </row>
    <row r="664" spans="1:2">
      <c r="A664" s="177"/>
      <c r="B664" s="178"/>
    </row>
    <row r="665" spans="1:2">
      <c r="A665" s="177"/>
      <c r="B665" s="178"/>
    </row>
    <row r="666" spans="1:2">
      <c r="A666" s="177"/>
      <c r="B666" s="178"/>
    </row>
    <row r="667" spans="1:2">
      <c r="A667" s="177"/>
      <c r="B667" s="178"/>
    </row>
    <row r="668" spans="1:2">
      <c r="A668" s="177"/>
      <c r="B668" s="178"/>
    </row>
    <row r="669" spans="1:2">
      <c r="A669" s="177"/>
      <c r="B669" s="178"/>
    </row>
    <row r="670" spans="1:2">
      <c r="A670" s="177"/>
      <c r="B670" s="178"/>
    </row>
    <row r="671" spans="1:2">
      <c r="A671" s="177"/>
      <c r="B671" s="178"/>
    </row>
    <row r="672" spans="1:2">
      <c r="A672" s="177"/>
      <c r="B672" s="178"/>
    </row>
    <row r="673" spans="1:2">
      <c r="A673" s="177"/>
      <c r="B673" s="178"/>
    </row>
    <row r="674" spans="1:2">
      <c r="A674" s="177"/>
      <c r="B674" s="178"/>
    </row>
    <row r="675" spans="1:2">
      <c r="A675" s="177"/>
      <c r="B675" s="178"/>
    </row>
    <row r="676" spans="1:2">
      <c r="A676" s="177"/>
      <c r="B676" s="178"/>
    </row>
    <row r="677" spans="1:2">
      <c r="A677" s="177"/>
      <c r="B677" s="178"/>
    </row>
    <row r="678" spans="1:2">
      <c r="A678" s="177"/>
      <c r="B678" s="178"/>
    </row>
    <row r="679" spans="1:2">
      <c r="A679" s="177"/>
      <c r="B679" s="178"/>
    </row>
    <row r="680" spans="1:2">
      <c r="A680" s="177"/>
      <c r="B680" s="178"/>
    </row>
    <row r="681" spans="1:2">
      <c r="A681" s="177"/>
      <c r="B681" s="178"/>
    </row>
    <row r="682" spans="1:2">
      <c r="A682" s="177"/>
      <c r="B682" s="178"/>
    </row>
    <row r="683" spans="1:2">
      <c r="A683" s="177"/>
      <c r="B683" s="178"/>
    </row>
    <row r="684" spans="1:2">
      <c r="A684" s="177"/>
      <c r="B684" s="178"/>
    </row>
    <row r="685" spans="1:2">
      <c r="A685" s="177"/>
      <c r="B685" s="178"/>
    </row>
    <row r="686" spans="1:2">
      <c r="A686" s="177"/>
      <c r="B686" s="178"/>
    </row>
    <row r="687" spans="1:2">
      <c r="A687" s="177"/>
      <c r="B687" s="178"/>
    </row>
    <row r="688" spans="1:2">
      <c r="A688" s="177"/>
      <c r="B688" s="178"/>
    </row>
    <row r="689" spans="1:2">
      <c r="A689" s="177"/>
      <c r="B689" s="178"/>
    </row>
    <row r="690" spans="1:2">
      <c r="A690" s="177"/>
      <c r="B690" s="178"/>
    </row>
    <row r="691" spans="1:2">
      <c r="A691" s="177"/>
      <c r="B691" s="178"/>
    </row>
    <row r="692" spans="1:2">
      <c r="A692" s="177"/>
      <c r="B692" s="178"/>
    </row>
    <row r="693" spans="1:2">
      <c r="A693" s="177"/>
      <c r="B693" s="178"/>
    </row>
    <row r="694" spans="1:2">
      <c r="A694" s="177"/>
      <c r="B694" s="178"/>
    </row>
    <row r="695" spans="1:2">
      <c r="A695" s="177"/>
      <c r="B695" s="178"/>
    </row>
    <row r="696" spans="1:2">
      <c r="A696" s="177"/>
      <c r="B696" s="178"/>
    </row>
    <row r="697" spans="1:2">
      <c r="A697" s="177"/>
      <c r="B697" s="178"/>
    </row>
    <row r="698" spans="1:2">
      <c r="A698" s="177"/>
      <c r="B698" s="178"/>
    </row>
    <row r="699" spans="1:2">
      <c r="A699" s="177"/>
      <c r="B699" s="178"/>
    </row>
    <row r="700" spans="1:2">
      <c r="A700" s="177"/>
      <c r="B700" s="178"/>
    </row>
    <row r="701" spans="1:2">
      <c r="A701" s="177"/>
      <c r="B701" s="178"/>
    </row>
    <row r="702" spans="1:2">
      <c r="A702" s="177"/>
      <c r="B702" s="178"/>
    </row>
    <row r="703" spans="1:2">
      <c r="A703" s="177"/>
      <c r="B703" s="178"/>
    </row>
    <row r="704" spans="1:2">
      <c r="A704" s="177"/>
      <c r="B704" s="178"/>
    </row>
    <row r="705" spans="1:2">
      <c r="A705" s="177"/>
      <c r="B705" s="178"/>
    </row>
    <row r="706" spans="1:2">
      <c r="A706" s="177"/>
      <c r="B706" s="178"/>
    </row>
    <row r="707" spans="1:2">
      <c r="A707" s="177"/>
      <c r="B707" s="178"/>
    </row>
    <row r="708" spans="1:2">
      <c r="A708" s="177"/>
      <c r="B708" s="178"/>
    </row>
    <row r="709" spans="1:2">
      <c r="A709" s="177"/>
      <c r="B709" s="178"/>
    </row>
    <row r="710" spans="1:2">
      <c r="A710" s="177"/>
      <c r="B710" s="178"/>
    </row>
    <row r="711" spans="1:2">
      <c r="A711" s="177"/>
      <c r="B711" s="178"/>
    </row>
    <row r="712" spans="1:2">
      <c r="A712" s="177"/>
      <c r="B712" s="178"/>
    </row>
    <row r="713" spans="1:2">
      <c r="A713" s="177"/>
      <c r="B713" s="178"/>
    </row>
    <row r="714" spans="1:2">
      <c r="A714" s="177"/>
      <c r="B714" s="178"/>
    </row>
    <row r="715" spans="1:2">
      <c r="A715" s="177"/>
      <c r="B715" s="178"/>
    </row>
    <row r="716" spans="1:2">
      <c r="A716" s="177"/>
      <c r="B716" s="178"/>
    </row>
    <row r="717" spans="1:2">
      <c r="A717" s="177"/>
      <c r="B717" s="178"/>
    </row>
    <row r="718" spans="1:2">
      <c r="A718" s="177"/>
      <c r="B718" s="178"/>
    </row>
    <row r="719" spans="1:2">
      <c r="A719" s="177"/>
      <c r="B719" s="178"/>
    </row>
    <row r="720" spans="1:2">
      <c r="A720" s="177"/>
      <c r="B720" s="178"/>
    </row>
    <row r="721" spans="1:2">
      <c r="A721" s="177"/>
      <c r="B721" s="178"/>
    </row>
    <row r="722" spans="1:2">
      <c r="A722" s="177"/>
      <c r="B722" s="178"/>
    </row>
    <row r="723" spans="1:2">
      <c r="A723" s="177"/>
      <c r="B723" s="178"/>
    </row>
    <row r="724" spans="1:2">
      <c r="A724" s="177"/>
      <c r="B724" s="178"/>
    </row>
    <row r="725" spans="1:2">
      <c r="A725" s="177"/>
      <c r="B725" s="178"/>
    </row>
    <row r="726" spans="1:2">
      <c r="A726" s="177"/>
      <c r="B726" s="178"/>
    </row>
    <row r="727" spans="1:2">
      <c r="A727" s="177"/>
      <c r="B727" s="178"/>
    </row>
    <row r="728" spans="1:2">
      <c r="A728" s="177"/>
      <c r="B728" s="178"/>
    </row>
    <row r="729" spans="1:2">
      <c r="A729" s="177"/>
      <c r="B729" s="178"/>
    </row>
    <row r="730" spans="1:2">
      <c r="A730" s="177"/>
      <c r="B730" s="178"/>
    </row>
    <row r="731" spans="1:2">
      <c r="A731" s="177"/>
      <c r="B731" s="178"/>
    </row>
    <row r="732" spans="1:2">
      <c r="A732" s="177"/>
      <c r="B732" s="178"/>
    </row>
    <row r="733" spans="1:2">
      <c r="A733" s="177"/>
      <c r="B733" s="178"/>
    </row>
    <row r="734" spans="1:2">
      <c r="A734" s="177"/>
      <c r="B734" s="178"/>
    </row>
    <row r="735" spans="1:2">
      <c r="A735" s="177"/>
      <c r="B735" s="178"/>
    </row>
    <row r="736" spans="1:2">
      <c r="A736" s="177"/>
      <c r="B736" s="178"/>
    </row>
    <row r="737" spans="1:2">
      <c r="A737" s="177"/>
      <c r="B737" s="178"/>
    </row>
    <row r="738" spans="1:2">
      <c r="A738" s="177"/>
      <c r="B738" s="178"/>
    </row>
    <row r="739" spans="1:2">
      <c r="A739" s="177"/>
      <c r="B739" s="178"/>
    </row>
    <row r="740" spans="1:2">
      <c r="A740" s="177"/>
      <c r="B740" s="178"/>
    </row>
    <row r="741" spans="1:2">
      <c r="A741" s="177"/>
      <c r="B741" s="178"/>
    </row>
    <row r="742" spans="1:2">
      <c r="A742" s="177"/>
      <c r="B742" s="178"/>
    </row>
    <row r="743" spans="1:2">
      <c r="A743" s="177"/>
      <c r="B743" s="178"/>
    </row>
    <row r="744" spans="1:2">
      <c r="A744" s="177"/>
      <c r="B744" s="178"/>
    </row>
    <row r="745" spans="1:2">
      <c r="A745" s="177"/>
      <c r="B745" s="178"/>
    </row>
    <row r="746" spans="1:2">
      <c r="A746" s="177"/>
      <c r="B746" s="178"/>
    </row>
    <row r="747" spans="1:2">
      <c r="A747" s="177"/>
      <c r="B747" s="178"/>
    </row>
    <row r="748" spans="1:2">
      <c r="A748" s="177"/>
      <c r="B748" s="178"/>
    </row>
    <row r="749" spans="1:2">
      <c r="A749" s="177"/>
      <c r="B749" s="178"/>
    </row>
    <row r="750" spans="1:2">
      <c r="A750" s="177"/>
      <c r="B750" s="178"/>
    </row>
    <row r="751" spans="1:2">
      <c r="A751" s="177"/>
      <c r="B751" s="178"/>
    </row>
    <row r="752" spans="1:2">
      <c r="A752" s="177"/>
      <c r="B752" s="178"/>
    </row>
    <row r="753" spans="1:2">
      <c r="A753" s="177"/>
      <c r="B753" s="178"/>
    </row>
    <row r="754" spans="1:2">
      <c r="A754" s="177"/>
      <c r="B754" s="178"/>
    </row>
    <row r="755" spans="1:2">
      <c r="A755" s="177"/>
      <c r="B755" s="178"/>
    </row>
    <row r="756" spans="1:2">
      <c r="A756" s="177"/>
      <c r="B756" s="178"/>
    </row>
    <row r="757" spans="1:2">
      <c r="A757" s="177"/>
      <c r="B757" s="178"/>
    </row>
    <row r="758" spans="1:2">
      <c r="A758" s="177"/>
      <c r="B758" s="178"/>
    </row>
    <row r="759" spans="1:2">
      <c r="A759" s="177"/>
      <c r="B759" s="178"/>
    </row>
    <row r="760" spans="1:2">
      <c r="A760" s="177"/>
      <c r="B760" s="178"/>
    </row>
    <row r="761" spans="1:2">
      <c r="A761" s="177"/>
      <c r="B761" s="178"/>
    </row>
    <row r="762" spans="1:2">
      <c r="A762" s="177"/>
      <c r="B762" s="178"/>
    </row>
    <row r="763" spans="1:2">
      <c r="A763" s="177"/>
      <c r="B763" s="178"/>
    </row>
    <row r="764" spans="1:2">
      <c r="A764" s="177"/>
      <c r="B764" s="178"/>
    </row>
    <row r="765" spans="1:2">
      <c r="A765" s="177"/>
      <c r="B765" s="178"/>
    </row>
    <row r="766" spans="1:2">
      <c r="A766" s="177"/>
      <c r="B766" s="178"/>
    </row>
    <row r="767" spans="1:2">
      <c r="A767" s="177"/>
      <c r="B767" s="178"/>
    </row>
    <row r="768" spans="1:2">
      <c r="A768" s="177"/>
      <c r="B768" s="178"/>
    </row>
    <row r="769" spans="1:2">
      <c r="A769" s="177"/>
      <c r="B769" s="178"/>
    </row>
    <row r="770" spans="1:2">
      <c r="A770" s="177"/>
      <c r="B770" s="178"/>
    </row>
    <row r="771" spans="1:2">
      <c r="A771" s="177"/>
      <c r="B771" s="178"/>
    </row>
    <row r="772" spans="1:2">
      <c r="A772" s="177"/>
      <c r="B772" s="178"/>
    </row>
    <row r="773" spans="1:2">
      <c r="A773" s="177"/>
      <c r="B773" s="178"/>
    </row>
    <row r="774" spans="1:2">
      <c r="A774" s="177"/>
      <c r="B774" s="178"/>
    </row>
    <row r="775" spans="1:2">
      <c r="A775" s="177"/>
      <c r="B775" s="178"/>
    </row>
    <row r="776" spans="1:2">
      <c r="A776" s="177"/>
      <c r="B776" s="178"/>
    </row>
    <row r="777" spans="1:2">
      <c r="A777" s="177"/>
      <c r="B777" s="178"/>
    </row>
    <row r="778" spans="1:2">
      <c r="A778" s="177"/>
      <c r="B778" s="178"/>
    </row>
    <row r="779" spans="1:2">
      <c r="A779" s="177"/>
      <c r="B779" s="178"/>
    </row>
    <row r="780" spans="1:2">
      <c r="A780" s="177"/>
      <c r="B780" s="178"/>
    </row>
    <row r="781" spans="1:2">
      <c r="A781" s="177"/>
      <c r="B781" s="178"/>
    </row>
    <row r="782" spans="1:2">
      <c r="A782" s="177"/>
      <c r="B782" s="178"/>
    </row>
    <row r="783" spans="1:2">
      <c r="A783" s="177"/>
      <c r="B783" s="178"/>
    </row>
    <row r="784" spans="1:2">
      <c r="A784" s="177"/>
      <c r="B784" s="178"/>
    </row>
    <row r="785" spans="1:2">
      <c r="A785" s="177"/>
      <c r="B785" s="178"/>
    </row>
    <row r="786" spans="1:2">
      <c r="A786" s="177"/>
      <c r="B786" s="178"/>
    </row>
    <row r="787" spans="1:2">
      <c r="A787" s="177"/>
      <c r="B787" s="178"/>
    </row>
    <row r="788" spans="1:2">
      <c r="A788" s="177"/>
      <c r="B788" s="178"/>
    </row>
    <row r="789" spans="1:2">
      <c r="A789" s="177"/>
      <c r="B789" s="178"/>
    </row>
    <row r="790" spans="1:2">
      <c r="A790" s="177"/>
      <c r="B790" s="178"/>
    </row>
    <row r="791" spans="1:2">
      <c r="A791" s="177"/>
      <c r="B791" s="178"/>
    </row>
    <row r="792" spans="1:2">
      <c r="A792" s="177"/>
      <c r="B792" s="178"/>
    </row>
    <row r="793" spans="1:2">
      <c r="A793" s="177"/>
      <c r="B793" s="178"/>
    </row>
    <row r="794" spans="1:2">
      <c r="A794" s="177"/>
      <c r="B794" s="178"/>
    </row>
    <row r="795" spans="1:2">
      <c r="A795" s="177"/>
      <c r="B795" s="178"/>
    </row>
    <row r="796" spans="1:2">
      <c r="A796" s="177"/>
      <c r="B796" s="178"/>
    </row>
    <row r="797" spans="1:2">
      <c r="A797" s="177"/>
      <c r="B797" s="178"/>
    </row>
    <row r="798" spans="1:2">
      <c r="A798" s="177"/>
      <c r="B798" s="178"/>
    </row>
    <row r="799" spans="1:2">
      <c r="A799" s="177"/>
      <c r="B799" s="178"/>
    </row>
    <row r="800" spans="1:2">
      <c r="A800" s="177"/>
      <c r="B800" s="178"/>
    </row>
    <row r="801" spans="1:2">
      <c r="A801" s="177"/>
      <c r="B801" s="178"/>
    </row>
    <row r="802" spans="1:2">
      <c r="A802" s="177"/>
      <c r="B802" s="178"/>
    </row>
    <row r="803" spans="1:2">
      <c r="A803" s="177"/>
      <c r="B803" s="178"/>
    </row>
    <row r="804" spans="1:2">
      <c r="A804" s="177"/>
      <c r="B804" s="178"/>
    </row>
    <row r="805" spans="1:2">
      <c r="A805" s="177"/>
      <c r="B805" s="178"/>
    </row>
    <row r="806" spans="1:2">
      <c r="A806" s="177"/>
      <c r="B806" s="178"/>
    </row>
    <row r="807" spans="1:2">
      <c r="A807" s="177"/>
      <c r="B807" s="178"/>
    </row>
    <row r="808" spans="1:2">
      <c r="A808" s="177"/>
      <c r="B808" s="178"/>
    </row>
    <row r="809" spans="1:2">
      <c r="A809" s="177"/>
      <c r="B809" s="178"/>
    </row>
    <row r="810" spans="1:2">
      <c r="A810" s="177"/>
      <c r="B810" s="178"/>
    </row>
    <row r="811" spans="1:2">
      <c r="A811" s="177"/>
      <c r="B811" s="178"/>
    </row>
    <row r="812" spans="1:2">
      <c r="A812" s="177"/>
      <c r="B812" s="178"/>
    </row>
    <row r="813" spans="1:2">
      <c r="A813" s="177"/>
      <c r="B813" s="178"/>
    </row>
    <row r="814" spans="1:2">
      <c r="A814" s="177"/>
      <c r="B814" s="178"/>
    </row>
    <row r="815" spans="1:2">
      <c r="A815" s="177"/>
      <c r="B815" s="178"/>
    </row>
    <row r="816" spans="1:2">
      <c r="A816" s="177"/>
      <c r="B816" s="178"/>
    </row>
    <row r="817" spans="1:2">
      <c r="A817" s="177"/>
      <c r="B817" s="178"/>
    </row>
    <row r="818" spans="1:2">
      <c r="A818" s="177"/>
      <c r="B818" s="178"/>
    </row>
    <row r="819" spans="1:2">
      <c r="A819" s="177"/>
      <c r="B819" s="178"/>
    </row>
    <row r="820" spans="1:2">
      <c r="A820" s="177"/>
      <c r="B820" s="178"/>
    </row>
    <row r="821" spans="1:2">
      <c r="A821" s="177"/>
      <c r="B821" s="178"/>
    </row>
    <row r="822" spans="1:2">
      <c r="A822" s="177"/>
      <c r="B822" s="178"/>
    </row>
    <row r="823" spans="1:2">
      <c r="A823" s="177"/>
      <c r="B823" s="178"/>
    </row>
    <row r="824" spans="1:2">
      <c r="A824" s="177"/>
      <c r="B824" s="178"/>
    </row>
    <row r="825" spans="1:2">
      <c r="A825" s="177"/>
      <c r="B825" s="178"/>
    </row>
    <row r="826" spans="1:2">
      <c r="A826" s="177"/>
      <c r="B826" s="178"/>
    </row>
    <row r="827" spans="1:2">
      <c r="A827" s="177"/>
      <c r="B827" s="178"/>
    </row>
    <row r="828" spans="1:2">
      <c r="A828" s="177"/>
      <c r="B828" s="178"/>
    </row>
    <row r="829" spans="1:2">
      <c r="A829" s="177"/>
      <c r="B829" s="178"/>
    </row>
    <row r="830" spans="1:2">
      <c r="A830" s="177"/>
      <c r="B830" s="178"/>
    </row>
    <row r="831" spans="1:2">
      <c r="A831" s="177"/>
      <c r="B831" s="178"/>
    </row>
    <row r="832" spans="1:2">
      <c r="A832" s="177"/>
      <c r="B832" s="178"/>
    </row>
    <row r="833" spans="1:2">
      <c r="A833" s="177"/>
      <c r="B833" s="178"/>
    </row>
    <row r="834" spans="1:2">
      <c r="A834" s="177"/>
      <c r="B834" s="178"/>
    </row>
    <row r="835" spans="1:2">
      <c r="A835" s="177"/>
      <c r="B835" s="178"/>
    </row>
    <row r="836" spans="1:2">
      <c r="A836" s="177"/>
      <c r="B836" s="178"/>
    </row>
    <row r="837" spans="1:2">
      <c r="A837" s="177"/>
      <c r="B837" s="178"/>
    </row>
    <row r="838" spans="1:2">
      <c r="A838" s="177"/>
      <c r="B838" s="178"/>
    </row>
    <row r="839" spans="1:2">
      <c r="A839" s="177"/>
      <c r="B839" s="178"/>
    </row>
    <row r="840" spans="1:2">
      <c r="A840" s="177"/>
      <c r="B840" s="178"/>
    </row>
    <row r="841" spans="1:2">
      <c r="A841" s="177"/>
      <c r="B841" s="178"/>
    </row>
    <row r="842" spans="1:2">
      <c r="A842" s="177"/>
      <c r="B842" s="178"/>
    </row>
    <row r="843" spans="1:2">
      <c r="A843" s="177"/>
      <c r="B843" s="178"/>
    </row>
    <row r="844" spans="1:2">
      <c r="A844" s="177"/>
      <c r="B844" s="178"/>
    </row>
    <row r="845" spans="1:2">
      <c r="A845" s="177"/>
      <c r="B845" s="178"/>
    </row>
    <row r="846" spans="1:2">
      <c r="A846" s="177"/>
      <c r="B846" s="178"/>
    </row>
    <row r="847" spans="1:2">
      <c r="A847" s="177"/>
      <c r="B847" s="178"/>
    </row>
    <row r="848" spans="1:2">
      <c r="A848" s="177"/>
      <c r="B848" s="178"/>
    </row>
    <row r="849" spans="1:2">
      <c r="A849" s="177"/>
      <c r="B849" s="178"/>
    </row>
    <row r="850" spans="1:2">
      <c r="A850" s="177"/>
      <c r="B850" s="178"/>
    </row>
    <row r="851" spans="1:2">
      <c r="A851" s="177"/>
      <c r="B851" s="178"/>
    </row>
    <row r="852" spans="1:2">
      <c r="A852" s="177"/>
      <c r="B852" s="178"/>
    </row>
    <row r="853" spans="1:2">
      <c r="A853" s="177"/>
      <c r="B853" s="178"/>
    </row>
    <row r="854" spans="1:2">
      <c r="A854" s="177"/>
      <c r="B854" s="178"/>
    </row>
    <row r="855" spans="1:2">
      <c r="A855" s="177"/>
      <c r="B855" s="178"/>
    </row>
    <row r="856" spans="1:2">
      <c r="A856" s="177"/>
      <c r="B856" s="178"/>
    </row>
    <row r="857" spans="1:2">
      <c r="A857" s="177"/>
      <c r="B857" s="178"/>
    </row>
    <row r="858" spans="1:2">
      <c r="A858" s="177"/>
      <c r="B858" s="178"/>
    </row>
    <row r="859" spans="1:2">
      <c r="A859" s="177"/>
      <c r="B859" s="178"/>
    </row>
    <row r="860" spans="1:2">
      <c r="A860" s="177"/>
      <c r="B860" s="178"/>
    </row>
    <row r="861" spans="1:2">
      <c r="A861" s="177"/>
      <c r="B861" s="178"/>
    </row>
    <row r="862" spans="1:2">
      <c r="A862" s="177"/>
      <c r="B862" s="178"/>
    </row>
    <row r="863" spans="1:2">
      <c r="A863" s="177"/>
      <c r="B863" s="178"/>
    </row>
    <row r="864" spans="1:2">
      <c r="A864" s="177"/>
      <c r="B864" s="178"/>
    </row>
    <row r="865" spans="1:2">
      <c r="A865" s="177"/>
      <c r="B865" s="178"/>
    </row>
    <row r="866" spans="1:2">
      <c r="A866" s="177"/>
      <c r="B866" s="178"/>
    </row>
    <row r="867" spans="1:2">
      <c r="A867" s="177"/>
      <c r="B867" s="178"/>
    </row>
    <row r="868" spans="1:2">
      <c r="A868" s="177"/>
      <c r="B868" s="178"/>
    </row>
    <row r="869" spans="1:2">
      <c r="A869" s="177"/>
      <c r="B869" s="178"/>
    </row>
    <row r="870" spans="1:2">
      <c r="A870" s="177"/>
      <c r="B870" s="178"/>
    </row>
    <row r="871" spans="1:2">
      <c r="A871" s="177"/>
      <c r="B871" s="178"/>
    </row>
    <row r="872" spans="1:2">
      <c r="A872" s="177"/>
      <c r="B872" s="178"/>
    </row>
    <row r="873" spans="1:2">
      <c r="A873" s="177"/>
      <c r="B873" s="178"/>
    </row>
    <row r="874" spans="1:2">
      <c r="A874" s="177"/>
      <c r="B874" s="178"/>
    </row>
    <row r="875" spans="1:2">
      <c r="A875" s="177"/>
      <c r="B875" s="178"/>
    </row>
    <row r="876" spans="1:2">
      <c r="A876" s="177"/>
      <c r="B876" s="178"/>
    </row>
    <row r="877" spans="1:2">
      <c r="A877" s="177"/>
      <c r="B877" s="178"/>
    </row>
    <row r="878" spans="1:2">
      <c r="A878" s="177"/>
      <c r="B878" s="178"/>
    </row>
    <row r="879" spans="1:2">
      <c r="A879" s="177"/>
      <c r="B879" s="178"/>
    </row>
    <row r="880" spans="1:2">
      <c r="A880" s="177"/>
      <c r="B880" s="178"/>
    </row>
    <row r="881" spans="1:2">
      <c r="A881" s="177"/>
      <c r="B881" s="178"/>
    </row>
    <row r="882" spans="1:2">
      <c r="A882" s="177"/>
      <c r="B882" s="178"/>
    </row>
    <row r="883" spans="1:2">
      <c r="A883" s="177"/>
      <c r="B883" s="178"/>
    </row>
    <row r="884" spans="1:2">
      <c r="A884" s="177"/>
      <c r="B884" s="178"/>
    </row>
    <row r="885" spans="1:2">
      <c r="A885" s="177"/>
      <c r="B885" s="178"/>
    </row>
    <row r="886" spans="1:2">
      <c r="A886" s="177"/>
      <c r="B886" s="178"/>
    </row>
    <row r="887" spans="1:2">
      <c r="A887" s="177"/>
      <c r="B887" s="178"/>
    </row>
    <row r="888" spans="1:2">
      <c r="A888" s="177"/>
      <c r="B888" s="178"/>
    </row>
    <row r="889" spans="1:2">
      <c r="A889" s="177"/>
      <c r="B889" s="178"/>
    </row>
    <row r="890" spans="1:2">
      <c r="A890" s="177"/>
      <c r="B890" s="178"/>
    </row>
    <row r="891" spans="1:2">
      <c r="A891" s="177"/>
      <c r="B891" s="178"/>
    </row>
    <row r="892" spans="1:2">
      <c r="A892" s="177"/>
      <c r="B892" s="178"/>
    </row>
    <row r="893" spans="1:2">
      <c r="A893" s="177"/>
      <c r="B893" s="178"/>
    </row>
    <row r="894" spans="1:2">
      <c r="A894" s="177"/>
      <c r="B894" s="178"/>
    </row>
    <row r="895" spans="1:2">
      <c r="A895" s="177"/>
      <c r="B895" s="178"/>
    </row>
    <row r="896" spans="1:2">
      <c r="A896" s="177"/>
      <c r="B896" s="178"/>
    </row>
    <row r="897" spans="1:2">
      <c r="A897" s="177"/>
      <c r="B897" s="178"/>
    </row>
    <row r="898" spans="1:2">
      <c r="A898" s="177"/>
      <c r="B898" s="178"/>
    </row>
    <row r="899" spans="1:2">
      <c r="A899" s="177"/>
      <c r="B899" s="178"/>
    </row>
    <row r="900" spans="1:2">
      <c r="A900" s="177"/>
      <c r="B900" s="178"/>
    </row>
    <row r="901" spans="1:2">
      <c r="A901" s="177"/>
      <c r="B901" s="178"/>
    </row>
    <row r="902" spans="1:2">
      <c r="A902" s="177"/>
      <c r="B902" s="178"/>
    </row>
    <row r="903" spans="1:2">
      <c r="A903" s="177"/>
      <c r="B903" s="178"/>
    </row>
    <row r="904" spans="1:2">
      <c r="A904" s="177"/>
      <c r="B904" s="178"/>
    </row>
    <row r="905" spans="1:2">
      <c r="A905" s="177"/>
      <c r="B905" s="178"/>
    </row>
    <row r="906" spans="1:2">
      <c r="A906" s="177"/>
      <c r="B906" s="178"/>
    </row>
    <row r="907" spans="1:2">
      <c r="A907" s="177"/>
      <c r="B907" s="178"/>
    </row>
    <row r="908" spans="1:2">
      <c r="A908" s="177"/>
      <c r="B908" s="178"/>
    </row>
    <row r="909" spans="1:2">
      <c r="A909" s="177"/>
      <c r="B909" s="178"/>
    </row>
    <row r="910" spans="1:2">
      <c r="A910" s="177"/>
      <c r="B910" s="178"/>
    </row>
    <row r="911" spans="1:2">
      <c r="A911" s="177"/>
      <c r="B911" s="178"/>
    </row>
    <row r="912" spans="1:2">
      <c r="A912" s="177"/>
      <c r="B912" s="178"/>
    </row>
    <row r="913" spans="1:2">
      <c r="A913" s="177"/>
      <c r="B913" s="178"/>
    </row>
    <row r="914" spans="1:2">
      <c r="A914" s="177"/>
      <c r="B914" s="178"/>
    </row>
    <row r="915" spans="1:2">
      <c r="A915" s="177"/>
      <c r="B915" s="178"/>
    </row>
    <row r="916" spans="1:2">
      <c r="A916" s="177"/>
      <c r="B916" s="178"/>
    </row>
    <row r="917" spans="1:2">
      <c r="A917" s="177"/>
      <c r="B917" s="178"/>
    </row>
    <row r="918" spans="1:2">
      <c r="A918" s="177"/>
      <c r="B918" s="178"/>
    </row>
    <row r="919" spans="1:2">
      <c r="A919" s="177"/>
      <c r="B919" s="178"/>
    </row>
    <row r="920" spans="1:2">
      <c r="A920" s="177"/>
      <c r="B920" s="178"/>
    </row>
    <row r="921" spans="1:2">
      <c r="A921" s="177"/>
      <c r="B921" s="178"/>
    </row>
    <row r="922" spans="1:2">
      <c r="A922" s="177"/>
      <c r="B922" s="178"/>
    </row>
    <row r="923" spans="1:2">
      <c r="A923" s="177"/>
      <c r="B923" s="178"/>
    </row>
    <row r="924" spans="1:2">
      <c r="A924" s="177"/>
      <c r="B924" s="178"/>
    </row>
    <row r="925" spans="1:2">
      <c r="A925" s="177"/>
      <c r="B925" s="178"/>
    </row>
    <row r="926" spans="1:2">
      <c r="A926" s="177"/>
      <c r="B926" s="178"/>
    </row>
    <row r="927" spans="1:2">
      <c r="A927" s="177"/>
      <c r="B927" s="178"/>
    </row>
    <row r="928" spans="1:2">
      <c r="A928" s="177"/>
      <c r="B928" s="178"/>
    </row>
    <row r="929" spans="1:2">
      <c r="A929" s="177"/>
      <c r="B929" s="178"/>
    </row>
    <row r="930" spans="1:2">
      <c r="A930" s="177"/>
      <c r="B930" s="178"/>
    </row>
    <row r="931" spans="1:2">
      <c r="A931" s="177"/>
      <c r="B931" s="178"/>
    </row>
    <row r="932" spans="1:2">
      <c r="A932" s="177"/>
      <c r="B932" s="178"/>
    </row>
    <row r="933" spans="1:2">
      <c r="A933" s="177"/>
      <c r="B933" s="178"/>
    </row>
    <row r="934" spans="1:2">
      <c r="A934" s="177"/>
      <c r="B934" s="178"/>
    </row>
    <row r="935" spans="1:2">
      <c r="A935" s="177"/>
      <c r="B935" s="178"/>
    </row>
    <row r="936" spans="1:2">
      <c r="A936" s="177"/>
      <c r="B936" s="178"/>
    </row>
    <row r="937" spans="1:2">
      <c r="A937" s="177"/>
      <c r="B937" s="178"/>
    </row>
    <row r="938" spans="1:2">
      <c r="A938" s="177"/>
      <c r="B938" s="178"/>
    </row>
    <row r="939" spans="1:2">
      <c r="A939" s="177"/>
      <c r="B939" s="178"/>
    </row>
    <row r="940" spans="1:2">
      <c r="A940" s="177"/>
      <c r="B940" s="178"/>
    </row>
    <row r="941" spans="1:2">
      <c r="A941" s="177"/>
      <c r="B941" s="178"/>
    </row>
    <row r="942" spans="1:2">
      <c r="A942" s="177"/>
      <c r="B942" s="178"/>
    </row>
    <row r="943" spans="1:2">
      <c r="A943" s="177"/>
      <c r="B943" s="178"/>
    </row>
    <row r="944" spans="1:2">
      <c r="A944" s="177"/>
      <c r="B944" s="178"/>
    </row>
    <row r="945" spans="1:2">
      <c r="A945" s="177"/>
      <c r="B945" s="178"/>
    </row>
    <row r="946" spans="1:2">
      <c r="A946" s="177"/>
      <c r="B946" s="178"/>
    </row>
    <row r="947" spans="1:2">
      <c r="A947" s="177"/>
      <c r="B947" s="178"/>
    </row>
    <row r="948" spans="1:2">
      <c r="A948" s="177"/>
      <c r="B948" s="178"/>
    </row>
    <row r="949" spans="1:2">
      <c r="A949" s="177"/>
      <c r="B949" s="178"/>
    </row>
    <row r="950" spans="1:2">
      <c r="A950" s="177"/>
      <c r="B950" s="178"/>
    </row>
    <row r="951" spans="1:2">
      <c r="A951" s="177"/>
      <c r="B951" s="178"/>
    </row>
    <row r="952" spans="1:2">
      <c r="A952" s="177"/>
      <c r="B952" s="178"/>
    </row>
    <row r="953" spans="1:2">
      <c r="A953" s="177"/>
      <c r="B953" s="178"/>
    </row>
    <row r="954" spans="1:2">
      <c r="A954" s="177"/>
      <c r="B954" s="178"/>
    </row>
    <row r="955" spans="1:2">
      <c r="A955" s="177"/>
      <c r="B955" s="178"/>
    </row>
    <row r="956" spans="1:2">
      <c r="A956" s="177"/>
      <c r="B956" s="178"/>
    </row>
    <row r="957" spans="1:2">
      <c r="A957" s="177"/>
      <c r="B957" s="178"/>
    </row>
    <row r="958" spans="1:2">
      <c r="A958" s="177"/>
      <c r="B958" s="178"/>
    </row>
    <row r="959" spans="1:2">
      <c r="A959" s="177"/>
      <c r="B959" s="178"/>
    </row>
    <row r="960" spans="1:2">
      <c r="A960" s="177"/>
      <c r="B960" s="178"/>
    </row>
    <row r="961" spans="1:2">
      <c r="A961" s="177"/>
      <c r="B961" s="178"/>
    </row>
    <row r="962" spans="1:2">
      <c r="A962" s="177"/>
      <c r="B962" s="178"/>
    </row>
    <row r="963" spans="1:2">
      <c r="A963" s="177"/>
      <c r="B963" s="178"/>
    </row>
    <row r="964" spans="1:2">
      <c r="A964" s="177"/>
      <c r="B964" s="178"/>
    </row>
    <row r="965" spans="1:2">
      <c r="A965" s="177"/>
      <c r="B965" s="178"/>
    </row>
    <row r="966" spans="1:2">
      <c r="A966" s="177"/>
      <c r="B966" s="178"/>
    </row>
    <row r="967" spans="1:2">
      <c r="A967" s="177"/>
      <c r="B967" s="178"/>
    </row>
    <row r="968" spans="1:2">
      <c r="A968" s="177"/>
      <c r="B968" s="178"/>
    </row>
    <row r="969" spans="1:2">
      <c r="A969" s="177"/>
      <c r="B969" s="178"/>
    </row>
    <row r="970" spans="1:2">
      <c r="A970" s="177"/>
      <c r="B970" s="178"/>
    </row>
    <row r="971" spans="1:2">
      <c r="A971" s="177"/>
      <c r="B971" s="178"/>
    </row>
    <row r="972" spans="1:2">
      <c r="A972" s="177"/>
      <c r="B972" s="178"/>
    </row>
    <row r="973" spans="1:2">
      <c r="A973" s="177"/>
      <c r="B973" s="178"/>
    </row>
    <row r="974" spans="1:2">
      <c r="A974" s="177"/>
      <c r="B974" s="178"/>
    </row>
    <row r="975" spans="1:2">
      <c r="A975" s="177"/>
      <c r="B975" s="178"/>
    </row>
    <row r="976" spans="1:2">
      <c r="A976" s="177"/>
      <c r="B976" s="178"/>
    </row>
    <row r="977" spans="1:2">
      <c r="A977" s="177"/>
      <c r="B977" s="178"/>
    </row>
    <row r="978" spans="1:2">
      <c r="A978" s="177"/>
      <c r="B978" s="178"/>
    </row>
    <row r="979" spans="1:2">
      <c r="A979" s="177"/>
      <c r="B979" s="178"/>
    </row>
    <row r="980" spans="1:2">
      <c r="A980" s="177"/>
      <c r="B980" s="178"/>
    </row>
    <row r="981" spans="1:2">
      <c r="A981" s="177"/>
      <c r="B981" s="178"/>
    </row>
    <row r="982" spans="1:2">
      <c r="A982" s="177"/>
      <c r="B982" s="178"/>
    </row>
    <row r="983" spans="1:2">
      <c r="A983" s="177"/>
      <c r="B983" s="178"/>
    </row>
    <row r="984" spans="1:2">
      <c r="A984" s="177"/>
      <c r="B984" s="178"/>
    </row>
    <row r="985" spans="1:2">
      <c r="A985" s="177"/>
      <c r="B985" s="178"/>
    </row>
    <row r="986" spans="1:2">
      <c r="A986" s="177"/>
      <c r="B986" s="178"/>
    </row>
    <row r="987" spans="1:2">
      <c r="A987" s="177"/>
      <c r="B987" s="178"/>
    </row>
    <row r="988" spans="1:2">
      <c r="A988" s="177"/>
      <c r="B988" s="178"/>
    </row>
    <row r="989" spans="1:2">
      <c r="A989" s="177"/>
      <c r="B989" s="178"/>
    </row>
    <row r="990" spans="1:2">
      <c r="A990" s="177"/>
      <c r="B990" s="178"/>
    </row>
    <row r="991" spans="1:2">
      <c r="A991" s="177"/>
      <c r="B991" s="178"/>
    </row>
    <row r="992" spans="1:2">
      <c r="A992" s="177"/>
      <c r="B992" s="178"/>
    </row>
    <row r="993" spans="1:2">
      <c r="A993" s="177"/>
      <c r="B993" s="178"/>
    </row>
    <row r="994" spans="1:2">
      <c r="A994" s="177"/>
      <c r="B994" s="178"/>
    </row>
    <row r="995" spans="1:2">
      <c r="A995" s="177"/>
      <c r="B995" s="178"/>
    </row>
    <row r="996" spans="1:2">
      <c r="A996" s="177"/>
      <c r="B996" s="178"/>
    </row>
    <row r="997" spans="1:2">
      <c r="A997" s="177"/>
      <c r="B997" s="178"/>
    </row>
    <row r="998" spans="1:2">
      <c r="A998" s="177"/>
      <c r="B998" s="178"/>
    </row>
    <row r="999" spans="1:2">
      <c r="A999" s="177"/>
      <c r="B999" s="178"/>
    </row>
    <row r="1000" spans="1:2">
      <c r="A1000" s="177"/>
      <c r="B1000" s="178"/>
    </row>
  </sheetData>
  <mergeCells count="32">
    <mergeCell ref="A3:A17"/>
    <mergeCell ref="B3:B17"/>
    <mergeCell ref="B43:B56"/>
    <mergeCell ref="A33:A42"/>
    <mergeCell ref="B33:B42"/>
    <mergeCell ref="A18:A32"/>
    <mergeCell ref="B18:B32"/>
    <mergeCell ref="B87:B96"/>
    <mergeCell ref="B97:B106"/>
    <mergeCell ref="B107:B116"/>
    <mergeCell ref="B117:B126"/>
    <mergeCell ref="B57:B66"/>
    <mergeCell ref="B67:B76"/>
    <mergeCell ref="B77:B86"/>
    <mergeCell ref="B127:B136"/>
    <mergeCell ref="B137:B146"/>
    <mergeCell ref="B147:B156"/>
    <mergeCell ref="B157:B166"/>
    <mergeCell ref="B167:B176"/>
    <mergeCell ref="A167:A176"/>
    <mergeCell ref="A87:A96"/>
    <mergeCell ref="A97:A106"/>
    <mergeCell ref="A107:A116"/>
    <mergeCell ref="A43:A56"/>
    <mergeCell ref="A57:A66"/>
    <mergeCell ref="A67:A76"/>
    <mergeCell ref="A77:A86"/>
    <mergeCell ref="A117:A126"/>
    <mergeCell ref="A127:A136"/>
    <mergeCell ref="A137:A146"/>
    <mergeCell ref="A147:A156"/>
    <mergeCell ref="A157:A166"/>
  </mergeCells>
  <hyperlinks>
    <hyperlink ref="D65" r:id="rId1" xr:uid="{00000000-0004-0000-0C00-000000000000}"/>
    <hyperlink ref="D93" r:id="rId2" xr:uid="{00000000-0004-0000-0C00-000001000000}"/>
    <hyperlink ref="D99" r:id="rId3" xr:uid="{00000000-0004-0000-0C00-000002000000}"/>
    <hyperlink ref="D109" r:id="rId4" xr:uid="{00000000-0004-0000-0C00-000003000000}"/>
    <hyperlink ref="D123" r:id="rId5" xr:uid="{00000000-0004-0000-0C00-000004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2:J82"/>
  <sheetViews>
    <sheetView tabSelected="1" workbookViewId="0"/>
  </sheetViews>
  <sheetFormatPr defaultColWidth="12.6640625" defaultRowHeight="15.75" customHeight="1"/>
  <cols>
    <col min="6" max="6" width="14.77734375" customWidth="1"/>
    <col min="8" max="8" width="17.44140625" customWidth="1"/>
  </cols>
  <sheetData>
    <row r="2" spans="1:10">
      <c r="A2" s="1"/>
      <c r="B2" s="1" t="s">
        <v>1433</v>
      </c>
      <c r="C2" s="1" t="s">
        <v>1434</v>
      </c>
    </row>
    <row r="4" spans="1:10">
      <c r="A4" s="179"/>
      <c r="B4" s="179" t="s">
        <v>1435</v>
      </c>
      <c r="C4" s="179" t="s">
        <v>1436</v>
      </c>
      <c r="D4" s="179" t="s">
        <v>623</v>
      </c>
      <c r="E4" s="179"/>
      <c r="F4" s="179" t="s">
        <v>148</v>
      </c>
      <c r="G4" s="179"/>
      <c r="H4" s="179" t="s">
        <v>149</v>
      </c>
      <c r="I4" s="179"/>
      <c r="J4" s="180" t="s">
        <v>150</v>
      </c>
    </row>
    <row r="5" spans="1:10">
      <c r="A5" s="135"/>
      <c r="B5" s="135">
        <v>1</v>
      </c>
      <c r="C5" s="1">
        <v>1</v>
      </c>
      <c r="D5" s="1" t="s">
        <v>151</v>
      </c>
      <c r="F5" s="1" t="s">
        <v>782</v>
      </c>
      <c r="H5" s="1" t="s">
        <v>1076</v>
      </c>
      <c r="J5" s="6" t="e">
        <f ca="1">_xludf.CONCAT(F$5,F$6)</f>
        <v>#NAME?</v>
      </c>
    </row>
    <row r="6" spans="1:10">
      <c r="A6" s="181"/>
      <c r="B6" s="181"/>
      <c r="F6" s="1" t="s">
        <v>1437</v>
      </c>
    </row>
    <row r="7" spans="1:10">
      <c r="A7" s="181"/>
      <c r="B7" s="181"/>
      <c r="C7" s="1">
        <v>2</v>
      </c>
      <c r="D7" s="1" t="s">
        <v>151</v>
      </c>
      <c r="F7" s="1" t="s">
        <v>1438</v>
      </c>
      <c r="H7" s="1" t="s">
        <v>1439</v>
      </c>
      <c r="J7" s="6" t="e">
        <f ca="1">_xludf.CONCAT(F$7,F$8)</f>
        <v>#NAME?</v>
      </c>
    </row>
    <row r="8" spans="1:10">
      <c r="A8" s="181"/>
      <c r="B8" s="181"/>
      <c r="F8" s="1" t="s">
        <v>782</v>
      </c>
    </row>
    <row r="9" spans="1:10">
      <c r="A9" s="181"/>
      <c r="B9" s="181"/>
      <c r="C9" s="1">
        <v>3</v>
      </c>
      <c r="D9" s="1" t="s">
        <v>151</v>
      </c>
      <c r="F9" s="1" t="s">
        <v>542</v>
      </c>
      <c r="H9" s="1" t="s">
        <v>1440</v>
      </c>
      <c r="J9" s="6" t="e">
        <f ca="1">_xludf.CONCAT(F$9,F$10)</f>
        <v>#NAME?</v>
      </c>
    </row>
    <row r="10" spans="1:10">
      <c r="A10" s="181"/>
      <c r="B10" s="181"/>
      <c r="F10" s="1" t="s">
        <v>1441</v>
      </c>
    </row>
    <row r="11" spans="1:10">
      <c r="A11" s="181"/>
      <c r="B11" s="181"/>
      <c r="C11" s="1">
        <v>4</v>
      </c>
      <c r="D11" s="1" t="s">
        <v>151</v>
      </c>
      <c r="F11" s="1" t="s">
        <v>1442</v>
      </c>
      <c r="H11" s="1" t="s">
        <v>1080</v>
      </c>
      <c r="J11" s="6" t="e">
        <f ca="1">_xludf.CONCAT(F$11,F$12)</f>
        <v>#NAME?</v>
      </c>
    </row>
    <row r="12" spans="1:10">
      <c r="A12" s="181"/>
      <c r="B12" s="181"/>
      <c r="F12" s="1" t="s">
        <v>1087</v>
      </c>
    </row>
    <row r="13" spans="1:10">
      <c r="A13" s="181"/>
      <c r="B13" s="181"/>
      <c r="C13" s="1">
        <v>5</v>
      </c>
      <c r="D13" s="1" t="s">
        <v>151</v>
      </c>
      <c r="F13" s="1" t="s">
        <v>1443</v>
      </c>
      <c r="H13" s="1" t="s">
        <v>1444</v>
      </c>
      <c r="J13" s="6" t="e">
        <f ca="1">_xludf.CONCAT(F$13,F$14)</f>
        <v>#NAME?</v>
      </c>
    </row>
    <row r="14" spans="1:10">
      <c r="A14" s="181"/>
      <c r="B14" s="181"/>
      <c r="F14" s="1" t="s">
        <v>1445</v>
      </c>
    </row>
    <row r="15" spans="1:10">
      <c r="A15" s="181"/>
      <c r="B15" s="181"/>
    </row>
    <row r="16" spans="1:10">
      <c r="A16" s="135"/>
      <c r="B16" s="135">
        <v>2</v>
      </c>
      <c r="C16" s="1">
        <v>1</v>
      </c>
      <c r="D16" s="1" t="s">
        <v>6</v>
      </c>
      <c r="F16" s="1" t="s">
        <v>1443</v>
      </c>
      <c r="H16" s="1" t="s">
        <v>968</v>
      </c>
      <c r="J16" s="6" t="str">
        <f t="shared" ref="J16:J20" si="0">CLEAN(F16)</f>
        <v>Room</v>
      </c>
    </row>
    <row r="17" spans="1:10">
      <c r="A17" s="181"/>
      <c r="B17" s="181"/>
      <c r="C17" s="1">
        <v>2</v>
      </c>
      <c r="D17" s="1" t="s">
        <v>6</v>
      </c>
      <c r="F17" s="1" t="s">
        <v>1087</v>
      </c>
      <c r="H17" s="1" t="s">
        <v>970</v>
      </c>
      <c r="J17" s="6" t="str">
        <f t="shared" si="0"/>
        <v>Friend</v>
      </c>
    </row>
    <row r="18" spans="1:10">
      <c r="A18" s="181"/>
      <c r="B18" s="181"/>
      <c r="C18" s="1">
        <v>3</v>
      </c>
      <c r="D18" s="1" t="s">
        <v>6</v>
      </c>
      <c r="F18" s="1" t="s">
        <v>1085</v>
      </c>
      <c r="H18" s="1" t="s">
        <v>1446</v>
      </c>
      <c r="J18" s="6" t="str">
        <f t="shared" si="0"/>
        <v>School</v>
      </c>
    </row>
    <row r="19" spans="1:10">
      <c r="A19" s="181"/>
      <c r="B19" s="181"/>
      <c r="C19" s="1">
        <v>4</v>
      </c>
      <c r="D19" s="1" t="s">
        <v>6</v>
      </c>
      <c r="F19" s="1" t="s">
        <v>377</v>
      </c>
      <c r="H19" s="1" t="s">
        <v>1447</v>
      </c>
      <c r="J19" s="6" t="str">
        <f t="shared" si="0"/>
        <v>College</v>
      </c>
    </row>
    <row r="20" spans="1:10">
      <c r="A20" s="181"/>
      <c r="B20" s="181"/>
      <c r="C20" s="1">
        <v>5</v>
      </c>
      <c r="D20" s="1" t="s">
        <v>6</v>
      </c>
      <c r="F20" s="1" t="s">
        <v>549</v>
      </c>
      <c r="H20" s="1" t="s">
        <v>1448</v>
      </c>
      <c r="J20" s="6" t="str">
        <f t="shared" si="0"/>
        <v>Excel</v>
      </c>
    </row>
    <row r="21" spans="1:10">
      <c r="A21" s="181"/>
      <c r="B21" s="181"/>
    </row>
    <row r="22" spans="1:10">
      <c r="A22" s="181"/>
      <c r="B22" s="181"/>
      <c r="C22" s="1"/>
      <c r="D22" s="1"/>
    </row>
    <row r="23" spans="1:10">
      <c r="A23" s="135"/>
      <c r="B23" s="135">
        <v>3</v>
      </c>
      <c r="C23" s="1">
        <v>1</v>
      </c>
      <c r="D23" s="1" t="s">
        <v>44</v>
      </c>
      <c r="F23" s="1" t="s">
        <v>1449</v>
      </c>
      <c r="H23" s="1" t="s">
        <v>1450</v>
      </c>
      <c r="J23" s="6" t="b">
        <f>EXACT(F23,F24)</f>
        <v>0</v>
      </c>
    </row>
    <row r="24" spans="1:10">
      <c r="A24" s="181"/>
      <c r="B24" s="181"/>
      <c r="C24" s="1"/>
      <c r="D24" s="1"/>
      <c r="F24" s="1" t="s">
        <v>3</v>
      </c>
    </row>
    <row r="25" spans="1:10">
      <c r="A25" s="181"/>
      <c r="B25" s="181"/>
      <c r="C25" s="1">
        <v>2</v>
      </c>
      <c r="D25" s="1" t="s">
        <v>44</v>
      </c>
      <c r="F25" s="1" t="s">
        <v>1449</v>
      </c>
      <c r="H25" s="1" t="s">
        <v>1451</v>
      </c>
      <c r="J25" s="6" t="b">
        <f>EXACT(F25,F26)</f>
        <v>0</v>
      </c>
    </row>
    <row r="26" spans="1:10">
      <c r="A26" s="181"/>
      <c r="B26" s="181"/>
      <c r="C26" s="1"/>
      <c r="D26" s="1"/>
      <c r="F26" s="1" t="s">
        <v>1452</v>
      </c>
    </row>
    <row r="27" spans="1:10">
      <c r="A27" s="181"/>
      <c r="B27" s="181"/>
      <c r="C27" s="1">
        <v>3</v>
      </c>
      <c r="D27" s="1" t="s">
        <v>44</v>
      </c>
      <c r="F27" s="1" t="s">
        <v>1453</v>
      </c>
      <c r="H27" s="1" t="s">
        <v>1454</v>
      </c>
      <c r="J27" s="6" t="b">
        <f>EXACT(F27,F28)</f>
        <v>0</v>
      </c>
    </row>
    <row r="28" spans="1:10">
      <c r="A28" s="181"/>
      <c r="B28" s="181"/>
      <c r="C28" s="1"/>
      <c r="D28" s="1"/>
      <c r="F28" s="1" t="s">
        <v>1455</v>
      </c>
    </row>
    <row r="29" spans="1:10">
      <c r="A29" s="181"/>
      <c r="B29" s="181"/>
      <c r="C29" s="1">
        <v>4</v>
      </c>
      <c r="D29" s="1" t="s">
        <v>44</v>
      </c>
      <c r="F29" s="1" t="s">
        <v>1456</v>
      </c>
      <c r="H29" s="1" t="s">
        <v>49</v>
      </c>
      <c r="J29" s="6" t="b">
        <f>EXACT(F29,F30)</f>
        <v>0</v>
      </c>
    </row>
    <row r="30" spans="1:10">
      <c r="A30" s="181"/>
      <c r="B30" s="181"/>
      <c r="C30" s="1"/>
      <c r="D30" s="1"/>
      <c r="F30" s="1" t="s">
        <v>1457</v>
      </c>
    </row>
    <row r="31" spans="1:10">
      <c r="A31" s="181"/>
      <c r="B31" s="181"/>
      <c r="C31" s="1">
        <v>5</v>
      </c>
      <c r="D31" s="1" t="s">
        <v>44</v>
      </c>
      <c r="F31" s="1" t="s">
        <v>1458</v>
      </c>
      <c r="H31" s="1" t="s">
        <v>51</v>
      </c>
      <c r="J31" s="6" t="b">
        <f>EXACT(F31,F32)</f>
        <v>0</v>
      </c>
    </row>
    <row r="32" spans="1:10">
      <c r="A32" s="181"/>
      <c r="B32" s="181"/>
      <c r="F32" s="1" t="s">
        <v>519</v>
      </c>
    </row>
    <row r="33" spans="1:10">
      <c r="A33" s="181"/>
      <c r="B33" s="181"/>
    </row>
    <row r="34" spans="1:10">
      <c r="A34" s="135"/>
      <c r="B34" s="135">
        <v>4</v>
      </c>
      <c r="C34" s="1">
        <v>1</v>
      </c>
      <c r="D34" s="1" t="s">
        <v>33</v>
      </c>
      <c r="F34" s="1" t="s">
        <v>1459</v>
      </c>
      <c r="H34" s="1" t="s">
        <v>1460</v>
      </c>
      <c r="J34" s="6">
        <f>FIND("n",F34,1)</f>
        <v>2</v>
      </c>
    </row>
    <row r="35" spans="1:10">
      <c r="A35" s="181"/>
      <c r="B35" s="181"/>
      <c r="C35" s="1">
        <v>2</v>
      </c>
      <c r="D35" s="1" t="s">
        <v>33</v>
      </c>
      <c r="F35" s="1" t="s">
        <v>1459</v>
      </c>
      <c r="H35" s="1" t="s">
        <v>1461</v>
      </c>
      <c r="J35" s="6">
        <f>FIND("s",F35,4)</f>
        <v>7</v>
      </c>
    </row>
    <row r="36" spans="1:10">
      <c r="A36" s="181"/>
      <c r="B36" s="181"/>
      <c r="C36" s="1">
        <v>3</v>
      </c>
      <c r="D36" s="1" t="s">
        <v>33</v>
      </c>
      <c r="F36" s="1" t="s">
        <v>1459</v>
      </c>
      <c r="H36" s="1" t="s">
        <v>1462</v>
      </c>
      <c r="J36" s="6">
        <f>FIND("v",F36,2)</f>
        <v>4</v>
      </c>
    </row>
    <row r="37" spans="1:10">
      <c r="A37" s="181"/>
      <c r="B37" s="181"/>
      <c r="C37" s="1">
        <v>4</v>
      </c>
      <c r="D37" s="1" t="s">
        <v>33</v>
      </c>
      <c r="F37" s="1" t="s">
        <v>1459</v>
      </c>
      <c r="H37" s="1" t="s">
        <v>1463</v>
      </c>
      <c r="J37" s="6">
        <f>FIND("i",F37,3)</f>
        <v>3</v>
      </c>
    </row>
    <row r="38" spans="1:10">
      <c r="A38" s="181"/>
      <c r="B38" s="181"/>
      <c r="C38" s="1">
        <v>5</v>
      </c>
      <c r="D38" s="1" t="s">
        <v>33</v>
      </c>
      <c r="F38" s="1" t="s">
        <v>1459</v>
      </c>
      <c r="H38" s="1" t="s">
        <v>1464</v>
      </c>
      <c r="J38" s="6">
        <f>FIND("t",F38,2)</f>
        <v>9</v>
      </c>
    </row>
    <row r="39" spans="1:10">
      <c r="A39" s="181"/>
      <c r="B39" s="181"/>
    </row>
    <row r="40" spans="1:10">
      <c r="A40" s="181"/>
      <c r="B40" s="181"/>
    </row>
    <row r="41" spans="1:10">
      <c r="A41" s="135"/>
      <c r="B41" s="135">
        <v>5</v>
      </c>
      <c r="C41" s="1">
        <v>1</v>
      </c>
      <c r="D41" s="1" t="s">
        <v>57</v>
      </c>
      <c r="F41" s="1" t="s">
        <v>1434</v>
      </c>
      <c r="H41" s="1" t="s">
        <v>1465</v>
      </c>
      <c r="J41" s="6" t="str">
        <f>LEFT(F41,2)</f>
        <v>Dh</v>
      </c>
    </row>
    <row r="42" spans="1:10">
      <c r="A42" s="181"/>
      <c r="B42" s="181"/>
      <c r="C42" s="1">
        <v>2</v>
      </c>
      <c r="D42" s="1" t="s">
        <v>57</v>
      </c>
      <c r="F42" s="1" t="s">
        <v>377</v>
      </c>
      <c r="H42" s="1" t="s">
        <v>1466</v>
      </c>
      <c r="J42" s="6" t="str">
        <f>LEFT(F42,4)</f>
        <v>Coll</v>
      </c>
    </row>
    <row r="43" spans="1:10">
      <c r="A43" s="181"/>
      <c r="B43" s="181"/>
      <c r="C43" s="1">
        <v>3</v>
      </c>
      <c r="D43" s="1" t="s">
        <v>57</v>
      </c>
      <c r="F43" s="1" t="s">
        <v>1102</v>
      </c>
      <c r="H43" s="1" t="s">
        <v>1467</v>
      </c>
      <c r="J43" s="6" t="str">
        <f>LEFT(F43,5)</f>
        <v>Forma</v>
      </c>
    </row>
    <row r="44" spans="1:10">
      <c r="A44" s="181"/>
      <c r="B44" s="181"/>
      <c r="C44" s="1">
        <v>4</v>
      </c>
      <c r="D44" s="1" t="s">
        <v>57</v>
      </c>
      <c r="F44" s="1" t="s">
        <v>1468</v>
      </c>
      <c r="H44" s="1" t="s">
        <v>1469</v>
      </c>
      <c r="J44" s="6" t="str">
        <f>LEFT(F44,1)</f>
        <v>I</v>
      </c>
    </row>
    <row r="45" spans="1:10">
      <c r="A45" s="181"/>
      <c r="B45" s="181"/>
      <c r="C45" s="1">
        <v>5</v>
      </c>
      <c r="D45" s="1" t="s">
        <v>57</v>
      </c>
      <c r="F45" s="1" t="s">
        <v>1470</v>
      </c>
      <c r="H45" s="1" t="s">
        <v>1471</v>
      </c>
      <c r="J45" s="6" t="str">
        <f t="shared" ref="J45:J46" si="1">LEFT(F45,2)</f>
        <v>Pe</v>
      </c>
    </row>
    <row r="46" spans="1:10">
      <c r="A46" s="181"/>
      <c r="B46" s="181"/>
      <c r="J46" s="6" t="str">
        <f t="shared" si="1"/>
        <v/>
      </c>
    </row>
    <row r="47" spans="1:10">
      <c r="A47" s="135"/>
      <c r="B47" s="135">
        <v>6</v>
      </c>
      <c r="C47" s="1">
        <v>1</v>
      </c>
      <c r="D47" s="1" t="s">
        <v>123</v>
      </c>
      <c r="F47" s="1" t="s">
        <v>185</v>
      </c>
      <c r="H47" s="1" t="s">
        <v>1472</v>
      </c>
      <c r="J47" s="6" t="str">
        <f>RIGHT(F47,4)</f>
        <v>pany</v>
      </c>
    </row>
    <row r="48" spans="1:10">
      <c r="A48" s="181"/>
      <c r="B48" s="181"/>
      <c r="C48" s="1">
        <v>2</v>
      </c>
      <c r="D48" s="1" t="s">
        <v>123</v>
      </c>
      <c r="F48" s="1" t="s">
        <v>1473</v>
      </c>
      <c r="H48" s="1" t="s">
        <v>1474</v>
      </c>
      <c r="J48" s="6" t="str">
        <f>RIGHT(F48,3)</f>
        <v>gle</v>
      </c>
    </row>
    <row r="49" spans="1:10">
      <c r="A49" s="181"/>
      <c r="B49" s="181"/>
      <c r="C49" s="1">
        <v>3</v>
      </c>
      <c r="D49" s="1" t="s">
        <v>123</v>
      </c>
      <c r="F49" s="1" t="s">
        <v>549</v>
      </c>
      <c r="H49" s="1" t="s">
        <v>1475</v>
      </c>
      <c r="J49" s="6" t="str">
        <f>RIGHT(F49,1)</f>
        <v>l</v>
      </c>
    </row>
    <row r="50" spans="1:10">
      <c r="A50" s="181"/>
      <c r="B50" s="181"/>
      <c r="C50" s="1">
        <v>4</v>
      </c>
      <c r="D50" s="1" t="s">
        <v>123</v>
      </c>
      <c r="F50" s="1" t="s">
        <v>1102</v>
      </c>
      <c r="H50" s="1" t="s">
        <v>1476</v>
      </c>
      <c r="J50" s="6" t="str">
        <f>RIGHT(F50,3)</f>
        <v>mat</v>
      </c>
    </row>
    <row r="51" spans="1:10">
      <c r="A51" s="181"/>
      <c r="B51" s="181"/>
      <c r="C51" s="1">
        <v>5</v>
      </c>
      <c r="D51" s="1" t="s">
        <v>123</v>
      </c>
      <c r="F51" s="1" t="s">
        <v>1434</v>
      </c>
      <c r="H51" s="1" t="s">
        <v>1477</v>
      </c>
      <c r="J51" s="6" t="str">
        <f>RIGHT(F51,4)</f>
        <v>iraj</v>
      </c>
    </row>
    <row r="52" spans="1:10">
      <c r="A52" s="181"/>
      <c r="B52" s="181"/>
    </row>
    <row r="53" spans="1:10">
      <c r="A53" s="135"/>
      <c r="B53" s="135">
        <v>7</v>
      </c>
      <c r="C53" s="1">
        <v>1</v>
      </c>
      <c r="D53" s="1" t="s">
        <v>90</v>
      </c>
      <c r="F53" s="1" t="s">
        <v>1443</v>
      </c>
      <c r="H53" s="1" t="s">
        <v>1478</v>
      </c>
      <c r="J53" s="6" t="str">
        <f>MID(F53,2,1)</f>
        <v>o</v>
      </c>
    </row>
    <row r="54" spans="1:10">
      <c r="A54" s="181"/>
      <c r="B54" s="181"/>
      <c r="C54" s="1">
        <v>2</v>
      </c>
      <c r="D54" s="1" t="s">
        <v>90</v>
      </c>
      <c r="F54" s="1" t="s">
        <v>1087</v>
      </c>
      <c r="H54" s="1" t="s">
        <v>1478</v>
      </c>
      <c r="J54" s="6" t="str">
        <f>MID(F54,1,3)</f>
        <v>Fri</v>
      </c>
    </row>
    <row r="55" spans="1:10">
      <c r="A55" s="181"/>
      <c r="B55" s="181"/>
      <c r="C55" s="1">
        <v>3</v>
      </c>
      <c r="D55" s="1" t="s">
        <v>90</v>
      </c>
      <c r="F55" s="1" t="s">
        <v>1085</v>
      </c>
      <c r="H55" s="1" t="s">
        <v>1478</v>
      </c>
      <c r="J55" s="6" t="str">
        <f>MID(F55,3,2)</f>
        <v>ho</v>
      </c>
    </row>
    <row r="56" spans="1:10">
      <c r="A56" s="181"/>
      <c r="B56" s="181"/>
      <c r="C56" s="1">
        <v>4</v>
      </c>
      <c r="D56" s="1" t="s">
        <v>90</v>
      </c>
      <c r="F56" s="1" t="s">
        <v>377</v>
      </c>
      <c r="H56" s="1" t="s">
        <v>1478</v>
      </c>
      <c r="J56" s="6" t="str">
        <f>MID(F56,1,4)</f>
        <v>Coll</v>
      </c>
    </row>
    <row r="57" spans="1:10">
      <c r="A57" s="181"/>
      <c r="B57" s="181"/>
      <c r="C57" s="1">
        <v>5</v>
      </c>
      <c r="D57" s="1" t="s">
        <v>90</v>
      </c>
      <c r="F57" s="1" t="s">
        <v>549</v>
      </c>
      <c r="H57" s="1" t="s">
        <v>1478</v>
      </c>
      <c r="J57" s="6" t="str">
        <f>MID(F57,2,3)</f>
        <v>xce</v>
      </c>
    </row>
    <row r="58" spans="1:10">
      <c r="A58" s="181"/>
      <c r="B58" s="181"/>
    </row>
    <row r="59" spans="1:10">
      <c r="A59" s="135"/>
      <c r="B59" s="135">
        <v>8</v>
      </c>
      <c r="C59" s="1">
        <v>1</v>
      </c>
      <c r="D59" s="1" t="s">
        <v>79</v>
      </c>
      <c r="F59" s="1" t="s">
        <v>1479</v>
      </c>
      <c r="H59" s="1" t="s">
        <v>499</v>
      </c>
      <c r="J59" s="6" t="str">
        <f t="shared" ref="J59:J63" si="2">LOWER(F59)</f>
        <v>dhiraj</v>
      </c>
    </row>
    <row r="60" spans="1:10">
      <c r="A60" s="181"/>
      <c r="B60" s="181"/>
      <c r="C60" s="1">
        <v>2</v>
      </c>
      <c r="D60" s="1" t="s">
        <v>79</v>
      </c>
      <c r="F60" s="1" t="s">
        <v>1480</v>
      </c>
      <c r="H60" s="1" t="s">
        <v>501</v>
      </c>
      <c r="J60" s="6" t="str">
        <f t="shared" si="2"/>
        <v>college</v>
      </c>
    </row>
    <row r="61" spans="1:10">
      <c r="A61" s="181"/>
      <c r="B61" s="181"/>
      <c r="C61" s="1">
        <v>3</v>
      </c>
      <c r="D61" s="1" t="s">
        <v>79</v>
      </c>
      <c r="F61" s="1" t="s">
        <v>1481</v>
      </c>
      <c r="H61" s="1" t="s">
        <v>503</v>
      </c>
      <c r="J61" s="6" t="str">
        <f t="shared" si="2"/>
        <v>visual</v>
      </c>
    </row>
    <row r="62" spans="1:10">
      <c r="A62" s="181"/>
      <c r="B62" s="181"/>
      <c r="C62" s="1">
        <v>4</v>
      </c>
      <c r="D62" s="1" t="s">
        <v>79</v>
      </c>
      <c r="F62" s="1" t="s">
        <v>1482</v>
      </c>
      <c r="H62" s="1" t="s">
        <v>1483</v>
      </c>
      <c r="J62" s="6" t="str">
        <f t="shared" si="2"/>
        <v>format</v>
      </c>
    </row>
    <row r="63" spans="1:10">
      <c r="A63" s="181"/>
      <c r="B63" s="181"/>
      <c r="C63" s="1">
        <v>5</v>
      </c>
      <c r="D63" s="1" t="s">
        <v>79</v>
      </c>
      <c r="F63" s="1" t="s">
        <v>1484</v>
      </c>
      <c r="H63" s="1" t="s">
        <v>1142</v>
      </c>
      <c r="J63" s="6" t="str">
        <f t="shared" si="2"/>
        <v>statergy</v>
      </c>
    </row>
    <row r="64" spans="1:10">
      <c r="A64" s="181"/>
      <c r="B64" s="181"/>
    </row>
    <row r="65" spans="1:10">
      <c r="A65" s="135"/>
      <c r="B65" s="135">
        <v>9</v>
      </c>
      <c r="C65" s="1">
        <v>1</v>
      </c>
      <c r="D65" s="1" t="s">
        <v>134</v>
      </c>
      <c r="F65" s="1" t="s">
        <v>1485</v>
      </c>
      <c r="H65" s="1" t="s">
        <v>1486</v>
      </c>
      <c r="J65" s="6" t="str">
        <f t="shared" ref="J65:J70" si="3">UPPER(F65)</f>
        <v>DHIRAJ</v>
      </c>
    </row>
    <row r="66" spans="1:10">
      <c r="A66" s="181"/>
      <c r="B66" s="181"/>
      <c r="C66" s="1">
        <v>2</v>
      </c>
      <c r="D66" s="1" t="s">
        <v>134</v>
      </c>
      <c r="F66" s="1" t="s">
        <v>1487</v>
      </c>
      <c r="H66" s="1" t="s">
        <v>1488</v>
      </c>
      <c r="J66" s="6" t="str">
        <f t="shared" si="3"/>
        <v>SHUBHAM</v>
      </c>
    </row>
    <row r="67" spans="1:10">
      <c r="A67" s="181"/>
      <c r="B67" s="181"/>
      <c r="C67" s="1">
        <v>3</v>
      </c>
      <c r="D67" s="1" t="s">
        <v>134</v>
      </c>
      <c r="F67" s="1" t="s">
        <v>1489</v>
      </c>
      <c r="H67" s="1" t="s">
        <v>1490</v>
      </c>
      <c r="J67" s="6" t="str">
        <f t="shared" si="3"/>
        <v>ARNAV</v>
      </c>
    </row>
    <row r="68" spans="1:10">
      <c r="A68" s="181"/>
      <c r="B68" s="181"/>
      <c r="C68" s="1">
        <v>4</v>
      </c>
      <c r="D68" s="1" t="s">
        <v>134</v>
      </c>
      <c r="F68" s="1" t="s">
        <v>1491</v>
      </c>
      <c r="H68" s="1" t="s">
        <v>1492</v>
      </c>
      <c r="J68" s="6" t="str">
        <f t="shared" si="3"/>
        <v>ROHIT</v>
      </c>
    </row>
    <row r="69" spans="1:10">
      <c r="A69" s="181"/>
      <c r="B69" s="181"/>
      <c r="C69" s="1">
        <v>5</v>
      </c>
      <c r="D69" s="1" t="s">
        <v>134</v>
      </c>
      <c r="F69" s="1" t="s">
        <v>1493</v>
      </c>
      <c r="H69" s="1" t="s">
        <v>1494</v>
      </c>
      <c r="J69" s="6" t="str">
        <f t="shared" si="3"/>
        <v>AKSHAY</v>
      </c>
    </row>
    <row r="70" spans="1:10">
      <c r="A70" s="181"/>
      <c r="B70" s="181"/>
      <c r="J70" s="6" t="str">
        <f t="shared" si="3"/>
        <v/>
      </c>
    </row>
    <row r="71" spans="1:10">
      <c r="A71" s="135"/>
      <c r="B71" s="135">
        <v>10</v>
      </c>
      <c r="C71" s="1">
        <v>1</v>
      </c>
      <c r="D71" s="1" t="s">
        <v>112</v>
      </c>
      <c r="F71" s="1" t="s">
        <v>1485</v>
      </c>
      <c r="H71" s="1" t="s">
        <v>1495</v>
      </c>
      <c r="J71" s="6" t="str">
        <f>REPLACE(F71,1,3,"hm")</f>
        <v>hmraj</v>
      </c>
    </row>
    <row r="72" spans="1:10">
      <c r="A72" s="181"/>
      <c r="B72" s="181"/>
      <c r="C72" s="1">
        <v>2</v>
      </c>
      <c r="D72" s="1" t="s">
        <v>112</v>
      </c>
      <c r="F72" s="1" t="s">
        <v>1487</v>
      </c>
      <c r="H72" s="1" t="s">
        <v>1496</v>
      </c>
      <c r="J72" s="6" t="str">
        <f>REPLACE(F72,2,4,"oj")</f>
        <v>sojam</v>
      </c>
    </row>
    <row r="73" spans="1:10">
      <c r="A73" s="181"/>
      <c r="B73" s="181"/>
      <c r="C73" s="1">
        <v>3</v>
      </c>
      <c r="D73" s="1" t="s">
        <v>112</v>
      </c>
      <c r="F73" s="1" t="s">
        <v>1489</v>
      </c>
      <c r="H73" s="1" t="s">
        <v>1497</v>
      </c>
      <c r="J73" s="6" t="str">
        <f>REPLACE(F73,2,3,"kl")</f>
        <v>aklv</v>
      </c>
    </row>
    <row r="74" spans="1:10">
      <c r="A74" s="181"/>
      <c r="B74" s="181"/>
      <c r="C74" s="1">
        <v>4</v>
      </c>
      <c r="D74" s="1" t="s">
        <v>112</v>
      </c>
      <c r="F74" s="1" t="s">
        <v>1491</v>
      </c>
      <c r="H74" s="1" t="s">
        <v>1498</v>
      </c>
      <c r="J74" s="6" t="str">
        <f>REPLACE(F74,1,3,"hm")</f>
        <v>hmit</v>
      </c>
    </row>
    <row r="75" spans="1:10">
      <c r="A75" s="181"/>
      <c r="B75" s="181"/>
      <c r="C75" s="1">
        <v>5</v>
      </c>
      <c r="D75" s="1" t="s">
        <v>112</v>
      </c>
      <c r="F75" s="1" t="s">
        <v>1493</v>
      </c>
      <c r="H75" s="1" t="s">
        <v>1499</v>
      </c>
      <c r="J75" s="6" t="str">
        <f>REPLACE(F75,1,4,"jkl")</f>
        <v>jklay</v>
      </c>
    </row>
    <row r="76" spans="1:10">
      <c r="A76" s="181"/>
      <c r="B76" s="181"/>
    </row>
    <row r="77" spans="1:10">
      <c r="A77" s="135"/>
      <c r="B77" s="135">
        <v>11</v>
      </c>
      <c r="C77" s="1">
        <v>1</v>
      </c>
      <c r="D77" s="1" t="s">
        <v>101</v>
      </c>
      <c r="F77" s="1" t="s">
        <v>1500</v>
      </c>
      <c r="H77" s="1" t="s">
        <v>1501</v>
      </c>
      <c r="J77" s="6" t="str">
        <f t="shared" ref="J77:J82" si="4">PROPER(F77)</f>
        <v>Abhishek</v>
      </c>
    </row>
    <row r="78" spans="1:10">
      <c r="A78" s="181"/>
      <c r="B78" s="181"/>
      <c r="C78" s="1">
        <v>2</v>
      </c>
      <c r="D78" s="1" t="s">
        <v>101</v>
      </c>
      <c r="F78" s="1" t="s">
        <v>1502</v>
      </c>
      <c r="H78" s="1" t="s">
        <v>1503</v>
      </c>
      <c r="J78" s="6" t="str">
        <f t="shared" si="4"/>
        <v>College</v>
      </c>
    </row>
    <row r="79" spans="1:10">
      <c r="A79" s="181"/>
      <c r="B79" s="181"/>
      <c r="C79" s="1">
        <v>3</v>
      </c>
      <c r="D79" s="1" t="s">
        <v>101</v>
      </c>
      <c r="F79" s="1" t="s">
        <v>1504</v>
      </c>
      <c r="H79" s="1" t="s">
        <v>1505</v>
      </c>
      <c r="J79" s="6" t="str">
        <f t="shared" si="4"/>
        <v>Laptop</v>
      </c>
    </row>
    <row r="80" spans="1:10">
      <c r="C80" s="1">
        <v>4</v>
      </c>
      <c r="D80" s="1" t="s">
        <v>101</v>
      </c>
      <c r="F80" s="1" t="s">
        <v>1506</v>
      </c>
      <c r="H80" s="1" t="s">
        <v>1507</v>
      </c>
      <c r="J80" s="6" t="str">
        <f t="shared" si="4"/>
        <v>Unicorn</v>
      </c>
    </row>
    <row r="81" spans="3:10">
      <c r="C81" s="1">
        <v>5</v>
      </c>
      <c r="D81" s="1" t="s">
        <v>101</v>
      </c>
      <c r="F81" s="1" t="s">
        <v>1508</v>
      </c>
      <c r="H81" s="1" t="s">
        <v>1509</v>
      </c>
      <c r="J81" s="6" t="str">
        <f t="shared" si="4"/>
        <v>Technology</v>
      </c>
    </row>
    <row r="82" spans="3:10">
      <c r="J82" s="6" t="str">
        <f t="shared" si="4"/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2:H34"/>
  <sheetViews>
    <sheetView workbookViewId="0"/>
  </sheetViews>
  <sheetFormatPr defaultColWidth="12.6640625" defaultRowHeight="15.75" customHeight="1"/>
  <cols>
    <col min="4" max="4" width="20.77734375" customWidth="1"/>
    <col min="7" max="7" width="14.6640625" customWidth="1"/>
  </cols>
  <sheetData>
    <row r="2" spans="1:8">
      <c r="A2" s="1" t="s">
        <v>1510</v>
      </c>
    </row>
    <row r="3" spans="1:8">
      <c r="C3" s="182" t="s">
        <v>1054</v>
      </c>
      <c r="D3" s="183" t="s">
        <v>1511</v>
      </c>
      <c r="E3" s="183" t="s">
        <v>559</v>
      </c>
      <c r="F3" s="183"/>
      <c r="G3" s="183" t="s">
        <v>1512</v>
      </c>
      <c r="H3" s="183" t="s">
        <v>1513</v>
      </c>
    </row>
    <row r="4" spans="1:8">
      <c r="C4" s="127"/>
      <c r="D4" s="127"/>
      <c r="E4" s="127"/>
      <c r="F4" s="127"/>
      <c r="G4" s="127"/>
      <c r="H4" s="127"/>
    </row>
    <row r="5" spans="1:8">
      <c r="C5" s="184">
        <v>1</v>
      </c>
      <c r="D5" s="184" t="s">
        <v>951</v>
      </c>
      <c r="E5" s="184" t="s">
        <v>1514</v>
      </c>
      <c r="F5" s="184" t="s">
        <v>633</v>
      </c>
      <c r="G5" s="184" t="s">
        <v>1515</v>
      </c>
      <c r="H5" s="185" t="e">
        <f t="shared" ref="H5:H9" ca="1" si="0">_xludf.CONCAT(F5,E5)</f>
        <v>#NAME?</v>
      </c>
    </row>
    <row r="6" spans="1:8">
      <c r="C6" s="185"/>
      <c r="D6" s="185"/>
      <c r="E6" s="184" t="s">
        <v>1516</v>
      </c>
      <c r="F6" s="184" t="s">
        <v>1517</v>
      </c>
      <c r="G6" s="184" t="s">
        <v>1518</v>
      </c>
      <c r="H6" s="185" t="e">
        <f t="shared" ca="1" si="0"/>
        <v>#NAME?</v>
      </c>
    </row>
    <row r="7" spans="1:8">
      <c r="C7" s="185"/>
      <c r="D7" s="185"/>
      <c r="E7" s="184" t="s">
        <v>1519</v>
      </c>
      <c r="F7" s="184" t="s">
        <v>1520</v>
      </c>
      <c r="G7" s="184" t="s">
        <v>1521</v>
      </c>
      <c r="H7" s="185" t="e">
        <f t="shared" ca="1" si="0"/>
        <v>#NAME?</v>
      </c>
    </row>
    <row r="8" spans="1:8">
      <c r="C8" s="185"/>
      <c r="D8" s="185"/>
      <c r="E8" s="184" t="s">
        <v>1522</v>
      </c>
      <c r="F8" s="184" t="s">
        <v>1523</v>
      </c>
      <c r="G8" s="184" t="s">
        <v>1524</v>
      </c>
      <c r="H8" s="185" t="e">
        <f t="shared" ca="1" si="0"/>
        <v>#NAME?</v>
      </c>
    </row>
    <row r="9" spans="1:8">
      <c r="C9" s="185"/>
      <c r="D9" s="185"/>
      <c r="E9" s="184" t="s">
        <v>1525</v>
      </c>
      <c r="F9" s="184" t="s">
        <v>1526</v>
      </c>
      <c r="G9" s="184" t="s">
        <v>1527</v>
      </c>
      <c r="H9" s="185" t="e">
        <f t="shared" ca="1" si="0"/>
        <v>#NAME?</v>
      </c>
    </row>
    <row r="10" spans="1:8">
      <c r="C10" s="185"/>
      <c r="D10" s="185"/>
      <c r="E10" s="185"/>
      <c r="F10" s="185"/>
      <c r="G10" s="185"/>
      <c r="H10" s="185"/>
    </row>
    <row r="11" spans="1:8">
      <c r="C11" s="184">
        <v>2</v>
      </c>
      <c r="D11" s="184" t="s">
        <v>57</v>
      </c>
      <c r="E11" s="184" t="s">
        <v>1528</v>
      </c>
      <c r="F11" s="185"/>
      <c r="G11" s="184" t="s">
        <v>1529</v>
      </c>
      <c r="H11" s="185" t="str">
        <f>LEFT(E11,2)</f>
        <v>Te</v>
      </c>
    </row>
    <row r="12" spans="1:8">
      <c r="C12" s="185"/>
      <c r="D12" s="185"/>
      <c r="E12" s="184" t="s">
        <v>1530</v>
      </c>
      <c r="F12" s="185"/>
      <c r="G12" s="184" t="s">
        <v>1531</v>
      </c>
      <c r="H12" s="185" t="str">
        <f>LEFT(E12,4)</f>
        <v>Gath</v>
      </c>
    </row>
    <row r="13" spans="1:8">
      <c r="C13" s="185"/>
      <c r="D13" s="185"/>
      <c r="E13" s="184" t="s">
        <v>1532</v>
      </c>
      <c r="F13" s="185"/>
      <c r="G13" s="184" t="s">
        <v>1533</v>
      </c>
      <c r="H13" s="185" t="str">
        <f>LEFT(E13,6)</f>
        <v>techno</v>
      </c>
    </row>
    <row r="14" spans="1:8">
      <c r="C14" s="185"/>
      <c r="D14" s="185"/>
      <c r="E14" s="184" t="s">
        <v>1534</v>
      </c>
      <c r="F14" s="185"/>
      <c r="G14" s="184" t="s">
        <v>1535</v>
      </c>
      <c r="H14" s="185" t="str">
        <f>LEFT(E14,3)</f>
        <v>dif</v>
      </c>
    </row>
    <row r="15" spans="1:8">
      <c r="C15" s="185"/>
      <c r="D15" s="185"/>
      <c r="E15" s="184" t="s">
        <v>1536</v>
      </c>
      <c r="F15" s="185"/>
      <c r="G15" s="184" t="s">
        <v>1537</v>
      </c>
      <c r="H15" s="185" t="str">
        <f>LEFT(E15,5)</f>
        <v>follo</v>
      </c>
    </row>
    <row r="16" spans="1:8">
      <c r="C16" s="185"/>
      <c r="D16" s="185"/>
      <c r="E16" s="185"/>
      <c r="F16" s="185"/>
      <c r="G16" s="185"/>
      <c r="H16" s="185"/>
    </row>
    <row r="17" spans="3:8">
      <c r="C17" s="184">
        <v>3</v>
      </c>
      <c r="D17" s="184" t="s">
        <v>123</v>
      </c>
      <c r="E17" s="184" t="s">
        <v>1528</v>
      </c>
      <c r="F17" s="185"/>
      <c r="G17" s="184" t="s">
        <v>1538</v>
      </c>
      <c r="H17" s="185" t="str">
        <f>RIGHT(E17,5)</f>
        <v>ision</v>
      </c>
    </row>
    <row r="18" spans="3:8">
      <c r="C18" s="185"/>
      <c r="D18" s="185"/>
      <c r="E18" s="184" t="s">
        <v>1530</v>
      </c>
      <c r="F18" s="185"/>
      <c r="G18" s="184" t="s">
        <v>1539</v>
      </c>
      <c r="H18" s="185" t="str">
        <f>RIGHT(E18,2)</f>
        <v>ng</v>
      </c>
    </row>
    <row r="19" spans="3:8">
      <c r="C19" s="185"/>
      <c r="D19" s="185"/>
      <c r="E19" s="184" t="s">
        <v>1532</v>
      </c>
      <c r="F19" s="185"/>
      <c r="G19" s="184" t="s">
        <v>1540</v>
      </c>
      <c r="H19" s="185" t="str">
        <f>RIGHT(E19,3)</f>
        <v>ogy</v>
      </c>
    </row>
    <row r="20" spans="3:8">
      <c r="C20" s="185"/>
      <c r="D20" s="185"/>
      <c r="E20" s="184" t="s">
        <v>1534</v>
      </c>
      <c r="F20" s="185"/>
      <c r="G20" s="184" t="s">
        <v>1541</v>
      </c>
      <c r="H20" s="185" t="str">
        <f>RIGHT(E20,6)</f>
        <v>erence</v>
      </c>
    </row>
    <row r="21" spans="3:8">
      <c r="C21" s="185"/>
      <c r="D21" s="185"/>
      <c r="E21" s="184" t="s">
        <v>1536</v>
      </c>
      <c r="F21" s="185"/>
      <c r="G21" s="184" t="s">
        <v>1542</v>
      </c>
      <c r="H21" s="185" t="str">
        <f>RIGHT(E21,1)</f>
        <v>g</v>
      </c>
    </row>
    <row r="22" spans="3:8">
      <c r="C22" s="185"/>
      <c r="D22" s="185"/>
      <c r="E22" s="185"/>
      <c r="F22" s="185"/>
      <c r="G22" s="185"/>
      <c r="H22" s="185"/>
    </row>
    <row r="23" spans="3:8">
      <c r="C23" s="184">
        <v>4</v>
      </c>
      <c r="D23" s="184" t="s">
        <v>68</v>
      </c>
      <c r="E23" s="184" t="s">
        <v>1543</v>
      </c>
      <c r="F23" s="185"/>
      <c r="G23" s="184" t="s">
        <v>1544</v>
      </c>
      <c r="H23" s="185">
        <f t="shared" ref="H23:H27" si="1">LEN(E23)</f>
        <v>9</v>
      </c>
    </row>
    <row r="24" spans="3:8">
      <c r="C24" s="185"/>
      <c r="D24" s="185"/>
      <c r="E24" s="184" t="s">
        <v>1545</v>
      </c>
      <c r="F24" s="185"/>
      <c r="G24" s="184" t="s">
        <v>1546</v>
      </c>
      <c r="H24" s="185">
        <f t="shared" si="1"/>
        <v>11</v>
      </c>
    </row>
    <row r="25" spans="3:8">
      <c r="C25" s="185"/>
      <c r="D25" s="185"/>
      <c r="E25" s="184" t="s">
        <v>1547</v>
      </c>
      <c r="F25" s="185"/>
      <c r="G25" s="184" t="s">
        <v>1548</v>
      </c>
      <c r="H25" s="185">
        <f t="shared" si="1"/>
        <v>7</v>
      </c>
    </row>
    <row r="26" spans="3:8">
      <c r="C26" s="185"/>
      <c r="D26" s="185"/>
      <c r="E26" s="184" t="s">
        <v>1549</v>
      </c>
      <c r="F26" s="185"/>
      <c r="G26" s="184" t="s">
        <v>1550</v>
      </c>
      <c r="H26" s="185">
        <f t="shared" si="1"/>
        <v>10</v>
      </c>
    </row>
    <row r="27" spans="3:8">
      <c r="C27" s="185"/>
      <c r="D27" s="185"/>
      <c r="E27" s="184" t="s">
        <v>1551</v>
      </c>
      <c r="F27" s="185"/>
      <c r="G27" s="184" t="s">
        <v>1552</v>
      </c>
      <c r="H27" s="185">
        <f t="shared" si="1"/>
        <v>11</v>
      </c>
    </row>
    <row r="28" spans="3:8">
      <c r="C28" s="185"/>
      <c r="D28" s="185"/>
      <c r="E28" s="185"/>
      <c r="F28" s="185"/>
      <c r="G28" s="185"/>
      <c r="H28" s="185"/>
    </row>
    <row r="29" spans="3:8">
      <c r="C29" s="184">
        <v>5</v>
      </c>
      <c r="D29" s="184" t="s">
        <v>33</v>
      </c>
      <c r="E29" s="184" t="s">
        <v>157</v>
      </c>
      <c r="F29" s="185"/>
      <c r="G29" s="184" t="s">
        <v>1553</v>
      </c>
      <c r="H29" s="185">
        <f>FIND("m",E29)</f>
        <v>3</v>
      </c>
    </row>
    <row r="30" spans="3:8">
      <c r="C30" s="185"/>
      <c r="D30" s="185"/>
      <c r="E30" s="184" t="s">
        <v>1554</v>
      </c>
      <c r="F30" s="185"/>
      <c r="G30" s="184" t="s">
        <v>1555</v>
      </c>
      <c r="H30" s="185">
        <f>FIND("g",E30)</f>
        <v>6</v>
      </c>
    </row>
    <row r="31" spans="3:8">
      <c r="C31" s="185"/>
      <c r="D31" s="185"/>
      <c r="E31" s="184" t="s">
        <v>1556</v>
      </c>
      <c r="F31" s="185"/>
      <c r="G31" s="184" t="s">
        <v>1557</v>
      </c>
      <c r="H31" s="185">
        <f>FIND("d",E31)</f>
        <v>4</v>
      </c>
    </row>
    <row r="32" spans="3:8">
      <c r="C32" s="185"/>
      <c r="D32" s="185"/>
      <c r="E32" s="184" t="s">
        <v>1558</v>
      </c>
      <c r="F32" s="185"/>
      <c r="G32" s="184" t="s">
        <v>1559</v>
      </c>
      <c r="H32" s="185">
        <f>FIND("C",E32)</f>
        <v>1</v>
      </c>
    </row>
    <row r="33" spans="3:8">
      <c r="C33" s="185"/>
      <c r="D33" s="185"/>
      <c r="E33" s="184" t="s">
        <v>1560</v>
      </c>
      <c r="F33" s="185"/>
      <c r="G33" s="184" t="s">
        <v>1561</v>
      </c>
      <c r="H33" s="185">
        <f>FIND("i",E33)</f>
        <v>4</v>
      </c>
    </row>
    <row r="34" spans="3:8">
      <c r="C34" s="127"/>
      <c r="D34" s="127"/>
      <c r="E34" s="127"/>
      <c r="F34" s="127"/>
      <c r="G34" s="127"/>
      <c r="H34" s="12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94"/>
  <sheetViews>
    <sheetView workbookViewId="0"/>
  </sheetViews>
  <sheetFormatPr defaultColWidth="12.6640625" defaultRowHeight="15.75" customHeight="1"/>
  <cols>
    <col min="5" max="5" width="17.88671875" customWidth="1"/>
    <col min="6" max="6" width="32.21875" customWidth="1"/>
  </cols>
  <sheetData>
    <row r="1" spans="1:7">
      <c r="A1" s="1" t="s">
        <v>1562</v>
      </c>
    </row>
    <row r="4" spans="1:7">
      <c r="C4" s="186" t="s">
        <v>889</v>
      </c>
      <c r="D4" s="187" t="s">
        <v>2</v>
      </c>
      <c r="E4" s="187" t="s">
        <v>519</v>
      </c>
      <c r="F4" s="187" t="s">
        <v>4</v>
      </c>
      <c r="G4" s="187" t="s">
        <v>5</v>
      </c>
    </row>
    <row r="5" spans="1:7">
      <c r="C5" s="188"/>
      <c r="D5" s="188"/>
      <c r="E5" s="188"/>
      <c r="F5" s="188"/>
      <c r="G5" s="188"/>
    </row>
    <row r="6" spans="1:7">
      <c r="C6" s="189">
        <v>1</v>
      </c>
      <c r="D6" s="189" t="s">
        <v>6</v>
      </c>
      <c r="E6" s="189" t="s">
        <v>1563</v>
      </c>
      <c r="F6" s="189" t="s">
        <v>909</v>
      </c>
      <c r="G6" s="190" t="str">
        <f t="shared" ref="G6:G10" si="0">CLEAN(E6)</f>
        <v>Hello   World</v>
      </c>
    </row>
    <row r="7" spans="1:7">
      <c r="C7" s="190"/>
      <c r="D7" s="190"/>
      <c r="E7" s="189" t="s">
        <v>3</v>
      </c>
      <c r="F7" s="189" t="s">
        <v>966</v>
      </c>
      <c r="G7" s="190" t="str">
        <f t="shared" si="0"/>
        <v>Data</v>
      </c>
    </row>
    <row r="8" spans="1:7">
      <c r="C8" s="190"/>
      <c r="D8" s="190"/>
      <c r="E8" s="189" t="s">
        <v>1564</v>
      </c>
      <c r="F8" s="189" t="s">
        <v>912</v>
      </c>
      <c r="G8" s="190" t="str">
        <f t="shared" si="0"/>
        <v>Function</v>
      </c>
    </row>
    <row r="9" spans="1:7">
      <c r="C9" s="190"/>
      <c r="D9" s="190"/>
      <c r="E9" s="189" t="s">
        <v>1565</v>
      </c>
      <c r="F9" s="189" t="s">
        <v>968</v>
      </c>
      <c r="G9" s="190" t="str">
        <f t="shared" si="0"/>
        <v xml:space="preserve">Management         </v>
      </c>
    </row>
    <row r="10" spans="1:7">
      <c r="C10" s="190"/>
      <c r="D10" s="190"/>
      <c r="E10" s="189" t="s">
        <v>1566</v>
      </c>
      <c r="F10" s="189" t="s">
        <v>970</v>
      </c>
      <c r="G10" s="190" t="str">
        <f t="shared" si="0"/>
        <v>Ashish</v>
      </c>
    </row>
    <row r="11" spans="1:7">
      <c r="C11" s="191"/>
      <c r="D11" s="191"/>
      <c r="E11" s="191"/>
      <c r="F11" s="191"/>
      <c r="G11" s="191"/>
    </row>
    <row r="12" spans="1:7">
      <c r="C12" s="189">
        <v>2</v>
      </c>
      <c r="D12" s="189" t="s">
        <v>17</v>
      </c>
      <c r="E12" s="189" t="s">
        <v>782</v>
      </c>
      <c r="F12" s="189" t="s">
        <v>1567</v>
      </c>
      <c r="G12" s="190" t="e">
        <f ca="1">_xludf.CONCAT(E13,E12)</f>
        <v>#NAME?</v>
      </c>
    </row>
    <row r="13" spans="1:7">
      <c r="C13" s="190"/>
      <c r="D13" s="190"/>
      <c r="E13" s="189" t="s">
        <v>1566</v>
      </c>
      <c r="F13" s="190"/>
      <c r="G13" s="190"/>
    </row>
    <row r="14" spans="1:7">
      <c r="C14" s="190"/>
      <c r="D14" s="190"/>
      <c r="E14" s="189" t="s">
        <v>537</v>
      </c>
      <c r="F14" s="189" t="s">
        <v>1568</v>
      </c>
      <c r="G14" s="190" t="e">
        <f ca="1">_xludf.CONCAT(E15,E14)</f>
        <v>#NAME?</v>
      </c>
    </row>
    <row r="15" spans="1:7">
      <c r="C15" s="190"/>
      <c r="D15" s="190"/>
      <c r="E15" s="189" t="s">
        <v>1569</v>
      </c>
      <c r="F15" s="190"/>
      <c r="G15" s="190"/>
    </row>
    <row r="16" spans="1:7">
      <c r="C16" s="190"/>
      <c r="D16" s="190"/>
      <c r="E16" s="189" t="s">
        <v>542</v>
      </c>
      <c r="F16" s="189" t="s">
        <v>1570</v>
      </c>
      <c r="G16" s="190" t="e">
        <f ca="1">_xludf.CONCAT(E16,E17)</f>
        <v>#NAME?</v>
      </c>
    </row>
    <row r="17" spans="3:7">
      <c r="C17" s="190"/>
      <c r="D17" s="190"/>
      <c r="E17" s="189" t="s">
        <v>3</v>
      </c>
      <c r="F17" s="190"/>
      <c r="G17" s="190"/>
    </row>
    <row r="18" spans="3:7">
      <c r="C18" s="190"/>
      <c r="D18" s="190"/>
      <c r="E18" s="189" t="s">
        <v>1571</v>
      </c>
      <c r="F18" s="189" t="s">
        <v>1572</v>
      </c>
      <c r="G18" s="190" t="e">
        <f ca="1">_xludf.CONCAT(E18,E19)</f>
        <v>#NAME?</v>
      </c>
    </row>
    <row r="19" spans="3:7">
      <c r="C19" s="190"/>
      <c r="D19" s="190"/>
      <c r="E19" s="189" t="s">
        <v>1573</v>
      </c>
      <c r="F19" s="190"/>
      <c r="G19" s="190"/>
    </row>
    <row r="20" spans="3:7">
      <c r="C20" s="190"/>
      <c r="D20" s="190"/>
      <c r="E20" s="189" t="s">
        <v>1574</v>
      </c>
      <c r="F20" s="189" t="s">
        <v>1575</v>
      </c>
      <c r="G20" s="190" t="e">
        <f ca="1">_xludf.CONCAT(E21,E20)</f>
        <v>#NAME?</v>
      </c>
    </row>
    <row r="21" spans="3:7">
      <c r="C21" s="190"/>
      <c r="D21" s="190"/>
      <c r="E21" s="189" t="s">
        <v>1473</v>
      </c>
      <c r="F21" s="190"/>
      <c r="G21" s="190"/>
    </row>
    <row r="22" spans="3:7">
      <c r="C22" s="190"/>
      <c r="D22" s="190"/>
      <c r="E22" s="190"/>
      <c r="F22" s="190"/>
      <c r="G22" s="190"/>
    </row>
    <row r="23" spans="3:7">
      <c r="C23" s="189">
        <v>3</v>
      </c>
      <c r="D23" s="189" t="s">
        <v>44</v>
      </c>
      <c r="E23" s="189" t="s">
        <v>1566</v>
      </c>
      <c r="F23" s="189" t="s">
        <v>1576</v>
      </c>
      <c r="G23" s="190" t="b">
        <f>EXACT(E23,E24)</f>
        <v>0</v>
      </c>
    </row>
    <row r="24" spans="3:7">
      <c r="C24" s="190"/>
      <c r="D24" s="190"/>
      <c r="E24" s="189" t="s">
        <v>782</v>
      </c>
      <c r="F24" s="190"/>
      <c r="G24" s="190"/>
    </row>
    <row r="25" spans="3:7">
      <c r="C25" s="190"/>
      <c r="D25" s="190"/>
      <c r="E25" s="189" t="s">
        <v>1577</v>
      </c>
      <c r="F25" s="189" t="s">
        <v>1578</v>
      </c>
      <c r="G25" s="190" t="b">
        <f>EXACT(E25,E26)</f>
        <v>0</v>
      </c>
    </row>
    <row r="26" spans="3:7">
      <c r="C26" s="190"/>
      <c r="D26" s="190"/>
      <c r="E26" s="189" t="s">
        <v>1579</v>
      </c>
      <c r="F26" s="190"/>
      <c r="G26" s="190"/>
    </row>
    <row r="27" spans="3:7">
      <c r="C27" s="190"/>
      <c r="D27" s="190"/>
      <c r="E27" s="189" t="s">
        <v>3</v>
      </c>
      <c r="F27" s="189" t="s">
        <v>1580</v>
      </c>
      <c r="G27" s="190" t="b">
        <f>EXACT(E27,E28)</f>
        <v>1</v>
      </c>
    </row>
    <row r="28" spans="3:7">
      <c r="C28" s="190"/>
      <c r="D28" s="190"/>
      <c r="E28" s="189" t="s">
        <v>3</v>
      </c>
      <c r="F28" s="190"/>
      <c r="G28" s="190"/>
    </row>
    <row r="29" spans="3:7">
      <c r="C29" s="190"/>
      <c r="D29" s="190"/>
      <c r="E29" s="189" t="s">
        <v>782</v>
      </c>
      <c r="F29" s="189" t="s">
        <v>474</v>
      </c>
      <c r="G29" s="190" t="b">
        <f>EXACT(E29,E30)</f>
        <v>0</v>
      </c>
    </row>
    <row r="30" spans="3:7">
      <c r="C30" s="190"/>
      <c r="D30" s="190"/>
      <c r="E30" s="189" t="s">
        <v>1564</v>
      </c>
      <c r="F30" s="190"/>
      <c r="G30" s="190"/>
    </row>
    <row r="31" spans="3:7">
      <c r="C31" s="190"/>
      <c r="D31" s="190"/>
      <c r="E31" s="189" t="s">
        <v>782</v>
      </c>
      <c r="F31" s="189" t="s">
        <v>1581</v>
      </c>
      <c r="G31" s="190" t="b">
        <f>EXACT(E31,E32)</f>
        <v>1</v>
      </c>
    </row>
    <row r="32" spans="3:7">
      <c r="C32" s="190"/>
      <c r="D32" s="190"/>
      <c r="E32" s="189" t="s">
        <v>782</v>
      </c>
      <c r="F32" s="190"/>
      <c r="G32" s="190"/>
    </row>
    <row r="33" spans="3:7">
      <c r="C33" s="190"/>
      <c r="D33" s="190"/>
      <c r="E33" s="190"/>
      <c r="F33" s="190"/>
      <c r="G33" s="190"/>
    </row>
    <row r="34" spans="3:7">
      <c r="C34" s="189">
        <v>4</v>
      </c>
      <c r="D34" s="189" t="s">
        <v>33</v>
      </c>
      <c r="E34" s="189" t="s">
        <v>1582</v>
      </c>
      <c r="F34" s="189" t="s">
        <v>1583</v>
      </c>
      <c r="G34" s="190">
        <f>FIND("A",E34)</f>
        <v>1</v>
      </c>
    </row>
    <row r="35" spans="3:7">
      <c r="C35" s="190"/>
      <c r="D35" s="190"/>
      <c r="E35" s="189" t="s">
        <v>1584</v>
      </c>
      <c r="F35" s="189" t="s">
        <v>1585</v>
      </c>
      <c r="G35" s="190">
        <f>FIND("W",E35)</f>
        <v>8</v>
      </c>
    </row>
    <row r="36" spans="3:7">
      <c r="C36" s="190"/>
      <c r="D36" s="190"/>
      <c r="E36" s="189" t="s">
        <v>1586</v>
      </c>
      <c r="F36" s="189" t="s">
        <v>1587</v>
      </c>
      <c r="G36" s="190">
        <f>FIND("m",E36)</f>
        <v>6</v>
      </c>
    </row>
    <row r="37" spans="3:7">
      <c r="C37" s="190"/>
      <c r="D37" s="190"/>
      <c r="E37" s="189" t="s">
        <v>1588</v>
      </c>
      <c r="F37" s="189" t="s">
        <v>1589</v>
      </c>
      <c r="G37" s="190">
        <f>FIND("B",E37)</f>
        <v>8</v>
      </c>
    </row>
    <row r="38" spans="3:7">
      <c r="C38" s="190"/>
      <c r="D38" s="190"/>
      <c r="E38" s="189" t="s">
        <v>1590</v>
      </c>
      <c r="F38" s="189" t="s">
        <v>1591</v>
      </c>
      <c r="G38" s="190">
        <f>FIND("c",E38)</f>
        <v>3</v>
      </c>
    </row>
    <row r="39" spans="3:7">
      <c r="C39" s="190"/>
      <c r="D39" s="190"/>
      <c r="E39" s="190"/>
      <c r="F39" s="190"/>
      <c r="G39" s="190"/>
    </row>
    <row r="40" spans="3:7">
      <c r="C40" s="189">
        <v>5</v>
      </c>
      <c r="D40" s="189" t="s">
        <v>57</v>
      </c>
      <c r="E40" s="189" t="s">
        <v>1592</v>
      </c>
      <c r="F40" s="189" t="s">
        <v>1593</v>
      </c>
      <c r="G40" s="190" t="str">
        <f>LEFT(E40,"5")</f>
        <v>Ashis</v>
      </c>
    </row>
    <row r="41" spans="3:7">
      <c r="C41" s="190"/>
      <c r="D41" s="190"/>
      <c r="E41" s="189" t="s">
        <v>1594</v>
      </c>
      <c r="F41" s="189" t="s">
        <v>1595</v>
      </c>
      <c r="G41" s="190" t="str">
        <f>LEFT(E41,"10")</f>
        <v>Manage-Sto</v>
      </c>
    </row>
    <row r="42" spans="3:7">
      <c r="C42" s="190"/>
      <c r="D42" s="190"/>
      <c r="E42" s="189" t="s">
        <v>1596</v>
      </c>
      <c r="F42" s="189" t="s">
        <v>1597</v>
      </c>
      <c r="G42" s="190" t="str">
        <f>LEFT(E42,"3")</f>
        <v>Pro</v>
      </c>
    </row>
    <row r="43" spans="3:7">
      <c r="C43" s="190"/>
      <c r="D43" s="190"/>
      <c r="E43" s="189" t="s">
        <v>1598</v>
      </c>
      <c r="F43" s="189" t="s">
        <v>1599</v>
      </c>
      <c r="G43" s="190" t="str">
        <f>LEFT(E43,"7")</f>
        <v>Format-</v>
      </c>
    </row>
    <row r="44" spans="3:7">
      <c r="C44" s="190"/>
      <c r="D44" s="190"/>
      <c r="E44" s="189" t="s">
        <v>1600</v>
      </c>
      <c r="F44" s="189" t="s">
        <v>1601</v>
      </c>
      <c r="G44" s="190" t="str">
        <f>LEFT(E44,"12")</f>
        <v>Clean-Functi</v>
      </c>
    </row>
    <row r="45" spans="3:7">
      <c r="C45" s="190"/>
      <c r="D45" s="190"/>
      <c r="E45" s="190"/>
      <c r="F45" s="190"/>
      <c r="G45" s="190"/>
    </row>
    <row r="46" spans="3:7">
      <c r="C46" s="189">
        <v>6</v>
      </c>
      <c r="D46" s="189" t="s">
        <v>68</v>
      </c>
      <c r="E46" s="189" t="s">
        <v>1602</v>
      </c>
      <c r="F46" s="189" t="s">
        <v>492</v>
      </c>
      <c r="G46" s="190">
        <f t="shared" ref="G46:G50" si="1">LEN(E46)</f>
        <v>11</v>
      </c>
    </row>
    <row r="47" spans="3:7">
      <c r="C47" s="190"/>
      <c r="D47" s="190"/>
      <c r="E47" s="189" t="s">
        <v>1562</v>
      </c>
      <c r="F47" s="189" t="s">
        <v>493</v>
      </c>
      <c r="G47" s="190">
        <f t="shared" si="1"/>
        <v>12</v>
      </c>
    </row>
    <row r="48" spans="3:7">
      <c r="C48" s="190"/>
      <c r="D48" s="190"/>
      <c r="E48" s="189" t="s">
        <v>1603</v>
      </c>
      <c r="F48" s="189" t="s">
        <v>494</v>
      </c>
      <c r="G48" s="190">
        <f t="shared" si="1"/>
        <v>13</v>
      </c>
    </row>
    <row r="49" spans="3:7">
      <c r="C49" s="190"/>
      <c r="D49" s="190"/>
      <c r="E49" s="189" t="s">
        <v>1604</v>
      </c>
      <c r="F49" s="189" t="s">
        <v>1020</v>
      </c>
      <c r="G49" s="190">
        <f t="shared" si="1"/>
        <v>8</v>
      </c>
    </row>
    <row r="50" spans="3:7">
      <c r="C50" s="190"/>
      <c r="D50" s="190"/>
      <c r="E50" s="189" t="s">
        <v>1605</v>
      </c>
      <c r="F50" s="189" t="s">
        <v>1022</v>
      </c>
      <c r="G50" s="190">
        <f t="shared" si="1"/>
        <v>9</v>
      </c>
    </row>
    <row r="51" spans="3:7">
      <c r="C51" s="190"/>
      <c r="D51" s="190"/>
      <c r="E51" s="190"/>
      <c r="F51" s="190"/>
      <c r="G51" s="190"/>
    </row>
    <row r="52" spans="3:7">
      <c r="C52" s="189">
        <v>7</v>
      </c>
      <c r="D52" s="189" t="s">
        <v>79</v>
      </c>
      <c r="E52" s="189" t="s">
        <v>1606</v>
      </c>
      <c r="F52" s="189" t="s">
        <v>499</v>
      </c>
      <c r="G52" s="190" t="str">
        <f t="shared" ref="G52:G56" si="2">LOWER(E52)</f>
        <v>function</v>
      </c>
    </row>
    <row r="53" spans="3:7">
      <c r="C53" s="190"/>
      <c r="D53" s="190"/>
      <c r="E53" s="189" t="s">
        <v>1607</v>
      </c>
      <c r="F53" s="189" t="s">
        <v>501</v>
      </c>
      <c r="G53" s="190" t="str">
        <f t="shared" si="2"/>
        <v>database</v>
      </c>
    </row>
    <row r="54" spans="3:7">
      <c r="C54" s="190"/>
      <c r="D54" s="190"/>
      <c r="E54" s="189" t="s">
        <v>1608</v>
      </c>
      <c r="F54" s="189" t="s">
        <v>503</v>
      </c>
      <c r="G54" s="190" t="str">
        <f t="shared" si="2"/>
        <v>functions</v>
      </c>
    </row>
    <row r="55" spans="3:7">
      <c r="C55" s="190"/>
      <c r="D55" s="190"/>
      <c r="E55" s="189" t="s">
        <v>1609</v>
      </c>
      <c r="F55" s="189" t="s">
        <v>1483</v>
      </c>
      <c r="G55" s="190" t="str">
        <f t="shared" si="2"/>
        <v>ashish</v>
      </c>
    </row>
    <row r="56" spans="3:7">
      <c r="C56" s="190"/>
      <c r="D56" s="190"/>
      <c r="E56" s="189" t="s">
        <v>1610</v>
      </c>
      <c r="F56" s="189" t="s">
        <v>1142</v>
      </c>
      <c r="G56" s="190" t="str">
        <f t="shared" si="2"/>
        <v>bonde patil</v>
      </c>
    </row>
    <row r="57" spans="3:7">
      <c r="C57" s="190"/>
      <c r="D57" s="190"/>
      <c r="E57" s="190"/>
      <c r="F57" s="190"/>
      <c r="G57" s="190"/>
    </row>
    <row r="58" spans="3:7">
      <c r="C58" s="189">
        <v>8</v>
      </c>
      <c r="D58" s="189" t="s">
        <v>134</v>
      </c>
      <c r="E58" s="189" t="s">
        <v>1611</v>
      </c>
      <c r="F58" s="189" t="s">
        <v>1612</v>
      </c>
      <c r="G58" s="190" t="str">
        <f t="shared" ref="G58:G62" si="3">UPPER(E58)</f>
        <v>STORAGE</v>
      </c>
    </row>
    <row r="59" spans="3:7">
      <c r="C59" s="190"/>
      <c r="D59" s="190"/>
      <c r="E59" s="189" t="s">
        <v>549</v>
      </c>
      <c r="F59" s="189" t="s">
        <v>1613</v>
      </c>
      <c r="G59" s="190" t="str">
        <f t="shared" si="3"/>
        <v>EXCEL</v>
      </c>
    </row>
    <row r="60" spans="3:7">
      <c r="C60" s="190"/>
      <c r="D60" s="190"/>
      <c r="E60" s="189" t="s">
        <v>1614</v>
      </c>
      <c r="F60" s="189" t="s">
        <v>1615</v>
      </c>
      <c r="G60" s="190" t="str">
        <f t="shared" si="3"/>
        <v>TELEGRAM</v>
      </c>
    </row>
    <row r="61" spans="3:7">
      <c r="C61" s="190"/>
      <c r="D61" s="190"/>
      <c r="E61" s="189" t="s">
        <v>1616</v>
      </c>
      <c r="F61" s="189" t="s">
        <v>1617</v>
      </c>
      <c r="G61" s="190" t="str">
        <f t="shared" si="3"/>
        <v>MICROSOFT</v>
      </c>
    </row>
    <row r="62" spans="3:7">
      <c r="C62" s="190"/>
      <c r="D62" s="190"/>
      <c r="E62" s="189" t="s">
        <v>1618</v>
      </c>
      <c r="F62" s="189" t="s">
        <v>504</v>
      </c>
      <c r="G62" s="190" t="str">
        <f t="shared" si="3"/>
        <v>INSTAGRAM</v>
      </c>
    </row>
    <row r="63" spans="3:7">
      <c r="C63" s="190"/>
      <c r="D63" s="190"/>
      <c r="E63" s="190"/>
      <c r="F63" s="190"/>
      <c r="G63" s="190"/>
    </row>
    <row r="64" spans="3:7">
      <c r="C64" s="189">
        <v>9</v>
      </c>
      <c r="D64" s="189" t="s">
        <v>112</v>
      </c>
      <c r="E64" s="189" t="s">
        <v>1619</v>
      </c>
      <c r="F64" s="189" t="s">
        <v>1620</v>
      </c>
      <c r="G64" s="190" t="str">
        <f>REPLACE(E64,3,4,"Data")</f>
        <v>GoData Storage</v>
      </c>
    </row>
    <row r="65" spans="3:7">
      <c r="C65" s="190"/>
      <c r="D65" s="190"/>
      <c r="E65" s="189" t="s">
        <v>1618</v>
      </c>
      <c r="F65" s="189" t="s">
        <v>1621</v>
      </c>
      <c r="G65" s="190" t="str">
        <f>REPLACE(E65,5,1,"Charge")</f>
        <v>InstChargegram</v>
      </c>
    </row>
    <row r="66" spans="3:7">
      <c r="C66" s="190"/>
      <c r="D66" s="190"/>
      <c r="E66" s="189" t="s">
        <v>1622</v>
      </c>
      <c r="F66" s="189" t="s">
        <v>1623</v>
      </c>
      <c r="G66" s="190" t="str">
        <f>REPLACE(E66,10,4,"port")</f>
        <v>Microsoftporte</v>
      </c>
    </row>
    <row r="67" spans="3:7">
      <c r="C67" s="190"/>
      <c r="D67" s="190"/>
      <c r="E67" s="189" t="s">
        <v>1562</v>
      </c>
      <c r="F67" s="189" t="s">
        <v>1624</v>
      </c>
      <c r="G67" s="190" t="str">
        <f>REPLACE(E67,7,6,"Patill")</f>
        <v>AshishPatill</v>
      </c>
    </row>
    <row r="68" spans="3:7">
      <c r="C68" s="190"/>
      <c r="D68" s="190"/>
      <c r="E68" s="189" t="s">
        <v>1616</v>
      </c>
      <c r="F68" s="189" t="s">
        <v>1625</v>
      </c>
      <c r="G68" s="190" t="str">
        <f>REPLACE(E68,5,1,"data")</f>
        <v>Micrdatasoft</v>
      </c>
    </row>
    <row r="69" spans="3:7">
      <c r="C69" s="190"/>
      <c r="D69" s="190"/>
      <c r="E69" s="190"/>
      <c r="F69" s="190"/>
      <c r="G69" s="190"/>
    </row>
    <row r="70" spans="3:7">
      <c r="C70" s="189">
        <v>10</v>
      </c>
      <c r="D70" s="189" t="s">
        <v>90</v>
      </c>
      <c r="E70" s="189" t="s">
        <v>613</v>
      </c>
      <c r="F70" s="189" t="s">
        <v>1626</v>
      </c>
      <c r="G70" s="190" t="str">
        <f>MID(E70,3,7)</f>
        <v>cel Dat</v>
      </c>
    </row>
    <row r="71" spans="3:7">
      <c r="C71" s="190"/>
      <c r="D71" s="190"/>
      <c r="E71" s="189" t="s">
        <v>1627</v>
      </c>
      <c r="F71" s="189" t="s">
        <v>1626</v>
      </c>
      <c r="G71" s="190" t="str">
        <f>MID(E71,2,7)</f>
        <v>anageme</v>
      </c>
    </row>
    <row r="72" spans="3:7">
      <c r="C72" s="190"/>
      <c r="D72" s="190"/>
      <c r="E72" s="189" t="s">
        <v>1566</v>
      </c>
      <c r="F72" s="189" t="s">
        <v>1628</v>
      </c>
      <c r="G72" s="190" t="str">
        <f>MID(E72,1,4)</f>
        <v>Ashi</v>
      </c>
    </row>
    <row r="73" spans="3:7">
      <c r="C73" s="190"/>
      <c r="D73" s="190"/>
      <c r="E73" s="189" t="s">
        <v>1629</v>
      </c>
      <c r="F73" s="189" t="s">
        <v>1630</v>
      </c>
      <c r="G73" s="190" t="str">
        <f>MID(E73,2,5)</f>
        <v>rive</v>
      </c>
    </row>
    <row r="74" spans="3:7">
      <c r="C74" s="190"/>
      <c r="D74" s="190"/>
      <c r="E74" s="189" t="s">
        <v>1631</v>
      </c>
      <c r="F74" s="189" t="s">
        <v>1632</v>
      </c>
      <c r="G74" s="190" t="str">
        <f>MID(E74,4,6)</f>
        <v xml:space="preserve">rage </v>
      </c>
    </row>
    <row r="75" spans="3:7">
      <c r="C75" s="190"/>
      <c r="D75" s="190"/>
      <c r="E75" s="190"/>
      <c r="F75" s="190"/>
      <c r="G75" s="190"/>
    </row>
    <row r="76" spans="3:7">
      <c r="C76" s="189">
        <v>11</v>
      </c>
      <c r="D76" s="189" t="s">
        <v>123</v>
      </c>
      <c r="E76" s="189" t="s">
        <v>1633</v>
      </c>
      <c r="F76" s="189" t="s">
        <v>1634</v>
      </c>
      <c r="G76" s="190" t="str">
        <f>RIGHT(E76,6)</f>
        <v xml:space="preserve"> Patil</v>
      </c>
    </row>
    <row r="77" spans="3:7">
      <c r="C77" s="190"/>
      <c r="D77" s="190"/>
      <c r="E77" s="189" t="s">
        <v>1635</v>
      </c>
      <c r="F77" s="189" t="s">
        <v>1636</v>
      </c>
      <c r="G77" s="190" t="str">
        <f>RIGHT(E77,12)</f>
        <v>ature Review</v>
      </c>
    </row>
    <row r="78" spans="3:7">
      <c r="C78" s="190"/>
      <c r="D78" s="190"/>
      <c r="E78" s="189" t="s">
        <v>1637</v>
      </c>
      <c r="F78" s="189" t="s">
        <v>1638</v>
      </c>
      <c r="G78" s="190" t="str">
        <f>RIGHT(E78,7)</f>
        <v>rporate</v>
      </c>
    </row>
    <row r="79" spans="3:7">
      <c r="C79" s="190"/>
      <c r="D79" s="190"/>
      <c r="E79" s="189" t="s">
        <v>554</v>
      </c>
      <c r="F79" s="189" t="s">
        <v>1639</v>
      </c>
      <c r="G79" s="190" t="str">
        <f t="shared" ref="G79:G80" si="4">RIGHT(E79,4)</f>
        <v>oyee</v>
      </c>
    </row>
    <row r="80" spans="3:7">
      <c r="C80" s="190"/>
      <c r="D80" s="190"/>
      <c r="E80" s="189" t="s">
        <v>1640</v>
      </c>
      <c r="F80" s="189" t="s">
        <v>1641</v>
      </c>
      <c r="G80" s="190" t="str">
        <f t="shared" si="4"/>
        <v>tube</v>
      </c>
    </row>
    <row r="81" spans="3:7">
      <c r="C81" s="190"/>
      <c r="D81" s="190"/>
      <c r="E81" s="190"/>
      <c r="F81" s="190"/>
      <c r="G81" s="190"/>
    </row>
    <row r="82" spans="3:7">
      <c r="C82" s="189">
        <v>12</v>
      </c>
      <c r="D82" s="189" t="s">
        <v>1642</v>
      </c>
      <c r="E82" s="189" t="s">
        <v>45</v>
      </c>
      <c r="F82" s="189" t="s">
        <v>1643</v>
      </c>
      <c r="G82" s="190">
        <f>SEARCH("n",E82)</f>
        <v>3</v>
      </c>
    </row>
    <row r="83" spans="3:7">
      <c r="C83" s="190"/>
      <c r="D83" s="190"/>
      <c r="E83" s="189" t="s">
        <v>1644</v>
      </c>
      <c r="F83" s="189" t="s">
        <v>1645</v>
      </c>
      <c r="G83" s="190">
        <f>SEARCH("a",E83)</f>
        <v>2</v>
      </c>
    </row>
    <row r="84" spans="3:7">
      <c r="C84" s="190"/>
      <c r="D84" s="190"/>
      <c r="E84" s="189" t="s">
        <v>1646</v>
      </c>
      <c r="F84" s="189" t="s">
        <v>1647</v>
      </c>
      <c r="G84" s="190">
        <f>SEARCH("C",E84)</f>
        <v>1</v>
      </c>
    </row>
    <row r="85" spans="3:7">
      <c r="C85" s="190"/>
      <c r="D85" s="190"/>
      <c r="E85" s="189" t="s">
        <v>1648</v>
      </c>
      <c r="F85" s="189" t="s">
        <v>1649</v>
      </c>
      <c r="G85" s="190">
        <f>SEARCH("d",E85)</f>
        <v>7</v>
      </c>
    </row>
    <row r="86" spans="3:7">
      <c r="C86" s="190"/>
      <c r="D86" s="190"/>
      <c r="E86" s="189" t="s">
        <v>1637</v>
      </c>
      <c r="F86" s="189" t="s">
        <v>1650</v>
      </c>
      <c r="G86" s="190">
        <f>SEARCH("r",E86)</f>
        <v>3</v>
      </c>
    </row>
    <row r="87" spans="3:7">
      <c r="C87" s="190"/>
      <c r="D87" s="190"/>
      <c r="E87" s="190"/>
      <c r="F87" s="190"/>
      <c r="G87" s="190"/>
    </row>
    <row r="88" spans="3:7">
      <c r="C88" s="189">
        <v>13</v>
      </c>
      <c r="D88" s="189" t="s">
        <v>1651</v>
      </c>
      <c r="E88" s="189" t="s">
        <v>1652</v>
      </c>
      <c r="F88" s="189" t="s">
        <v>1653</v>
      </c>
      <c r="G88" s="190" t="str">
        <f>SUBSTITUTE(E88,"Tea","Coffie")</f>
        <v>I like Coffie</v>
      </c>
    </row>
    <row r="89" spans="3:7">
      <c r="C89" s="190"/>
      <c r="D89" s="190"/>
      <c r="E89" s="189" t="s">
        <v>1562</v>
      </c>
      <c r="F89" s="189" t="s">
        <v>1654</v>
      </c>
      <c r="G89" s="190" t="str">
        <f>SUBSTITUTE(E89,"Bonde","Patil")</f>
        <v>Ashish Patil</v>
      </c>
    </row>
    <row r="90" spans="3:7">
      <c r="C90" s="190"/>
      <c r="D90" s="190"/>
      <c r="E90" s="189" t="s">
        <v>1655</v>
      </c>
      <c r="F90" s="189" t="s">
        <v>1656</v>
      </c>
      <c r="G90" s="190" t="str">
        <f>SUBSTITUTE(E90,"Business","Data")</f>
        <v>Data Analyst</v>
      </c>
    </row>
    <row r="91" spans="3:7">
      <c r="C91" s="190"/>
      <c r="D91" s="190"/>
      <c r="E91" s="189" t="s">
        <v>1657</v>
      </c>
      <c r="F91" s="189" t="s">
        <v>1658</v>
      </c>
      <c r="G91" s="190" t="str">
        <f>SUBSTITUTE(E91,"Management","Base")</f>
        <v>Data Base</v>
      </c>
    </row>
    <row r="92" spans="3:7">
      <c r="C92" s="190"/>
      <c r="D92" s="190"/>
      <c r="E92" s="189" t="s">
        <v>1659</v>
      </c>
      <c r="F92" s="189" t="s">
        <v>1660</v>
      </c>
      <c r="G92" s="190" t="str">
        <f>SUBSTITUTE(E92,"Orange","Nagpur")</f>
        <v>Nagpur City</v>
      </c>
    </row>
    <row r="94" spans="3:7">
      <c r="C94" s="1"/>
      <c r="D94" s="1"/>
      <c r="E94" s="1"/>
    </row>
  </sheetData>
  <hyperlinks>
    <hyperlink ref="C4" r:id="rId1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9"/>
  <sheetViews>
    <sheetView workbookViewId="0"/>
  </sheetViews>
  <sheetFormatPr defaultColWidth="12.6640625" defaultRowHeight="15.75" customHeight="1"/>
  <cols>
    <col min="1" max="1" width="15.21875" customWidth="1"/>
    <col min="5" max="5" width="18.21875" customWidth="1"/>
  </cols>
  <sheetData>
    <row r="1" spans="1:7">
      <c r="A1" s="1" t="s">
        <v>1661</v>
      </c>
    </row>
    <row r="5" spans="1:7">
      <c r="C5" s="1" t="s">
        <v>1662</v>
      </c>
      <c r="D5" s="1" t="s">
        <v>2</v>
      </c>
      <c r="E5" s="1" t="s">
        <v>519</v>
      </c>
      <c r="F5" s="1" t="s">
        <v>4</v>
      </c>
      <c r="G5" s="1" t="s">
        <v>5</v>
      </c>
    </row>
    <row r="7" spans="1:7">
      <c r="C7" s="1">
        <v>1</v>
      </c>
      <c r="D7" s="1" t="s">
        <v>1663</v>
      </c>
      <c r="E7" s="1" t="s">
        <v>1664</v>
      </c>
      <c r="F7" s="1" t="s">
        <v>1665</v>
      </c>
      <c r="G7" s="6">
        <f>FIND("N",E7,4)</f>
        <v>6</v>
      </c>
    </row>
    <row r="8" spans="1:7">
      <c r="E8" s="1" t="s">
        <v>1666</v>
      </c>
      <c r="F8" s="1" t="s">
        <v>1667</v>
      </c>
      <c r="G8" s="6">
        <f>FIND("L",E8,2)</f>
        <v>5</v>
      </c>
    </row>
    <row r="9" spans="1:7">
      <c r="E9" s="1" t="s">
        <v>1668</v>
      </c>
      <c r="G9" s="6" t="e">
        <f>FIND("N",E9,3)</f>
        <v>#VALUE!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B3:I71"/>
  <sheetViews>
    <sheetView workbookViewId="0"/>
  </sheetViews>
  <sheetFormatPr defaultColWidth="12.6640625" defaultRowHeight="15.75" customHeight="1"/>
  <cols>
    <col min="2" max="2" width="5.88671875" customWidth="1"/>
    <col min="3" max="3" width="12" customWidth="1"/>
    <col min="4" max="4" width="38.6640625" customWidth="1"/>
    <col min="5" max="5" width="13.88671875" customWidth="1"/>
    <col min="6" max="6" width="14.21875" customWidth="1"/>
  </cols>
  <sheetData>
    <row r="3" spans="2:9" ht="15.75" customHeight="1">
      <c r="B3" s="15"/>
      <c r="C3" s="15"/>
      <c r="D3" s="192" t="s">
        <v>1669</v>
      </c>
      <c r="E3" s="15"/>
      <c r="F3" s="15"/>
      <c r="G3" s="15"/>
      <c r="H3" s="15"/>
      <c r="I3" s="15"/>
    </row>
    <row r="4" spans="2:9" ht="15.75" customHeight="1">
      <c r="B4" s="15"/>
      <c r="C4" s="15"/>
      <c r="D4" s="15"/>
      <c r="E4" s="15"/>
      <c r="F4" s="15"/>
      <c r="G4" s="15"/>
      <c r="H4" s="15"/>
      <c r="I4" s="15"/>
    </row>
    <row r="5" spans="2:9" ht="15.75" customHeight="1">
      <c r="B5" s="193" t="s">
        <v>146</v>
      </c>
      <c r="C5" s="194" t="s">
        <v>1670</v>
      </c>
      <c r="D5" s="194" t="s">
        <v>4</v>
      </c>
      <c r="E5" s="194" t="s">
        <v>1671</v>
      </c>
      <c r="F5" s="194" t="s">
        <v>5</v>
      </c>
      <c r="G5" s="15"/>
      <c r="H5" s="15"/>
      <c r="I5" s="15"/>
    </row>
    <row r="6" spans="2:9" ht="15.75" customHeight="1">
      <c r="B6" s="195"/>
      <c r="C6" s="195"/>
      <c r="D6" s="195"/>
      <c r="E6" s="195"/>
      <c r="F6" s="195"/>
      <c r="G6" s="15"/>
      <c r="H6" s="15"/>
      <c r="I6" s="15"/>
    </row>
    <row r="7" spans="2:9" ht="15.75" customHeight="1">
      <c r="B7" s="196">
        <v>1</v>
      </c>
      <c r="C7" s="197" t="s">
        <v>1672</v>
      </c>
      <c r="D7" s="197" t="s">
        <v>1673</v>
      </c>
      <c r="E7" s="196" t="s">
        <v>549</v>
      </c>
      <c r="F7" s="196" t="s">
        <v>549</v>
      </c>
      <c r="G7" s="15"/>
      <c r="H7" s="15"/>
      <c r="I7" s="15"/>
    </row>
    <row r="8" spans="2:9" ht="15.75" customHeight="1">
      <c r="B8" s="195"/>
      <c r="C8" s="195"/>
      <c r="D8" s="197" t="s">
        <v>1674</v>
      </c>
      <c r="E8" s="197" t="s">
        <v>1675</v>
      </c>
      <c r="F8" s="197" t="s">
        <v>1676</v>
      </c>
      <c r="G8" s="15"/>
      <c r="H8" s="15"/>
      <c r="I8" s="15"/>
    </row>
    <row r="9" spans="2:9" ht="15.75" customHeight="1">
      <c r="B9" s="195"/>
      <c r="C9" s="195"/>
      <c r="D9" s="197" t="s">
        <v>1677</v>
      </c>
      <c r="E9" s="197" t="s">
        <v>1678</v>
      </c>
      <c r="F9" s="197" t="s">
        <v>1679</v>
      </c>
      <c r="G9" s="15"/>
      <c r="H9" s="15"/>
      <c r="I9" s="15"/>
    </row>
    <row r="10" spans="2:9" ht="15.75" customHeight="1">
      <c r="B10" s="195"/>
      <c r="C10" s="195"/>
      <c r="D10" s="197" t="s">
        <v>1680</v>
      </c>
      <c r="E10" s="197" t="s">
        <v>1602</v>
      </c>
      <c r="F10" s="197" t="s">
        <v>1602</v>
      </c>
      <c r="G10" s="15"/>
      <c r="H10" s="15"/>
      <c r="I10" s="15"/>
    </row>
    <row r="11" spans="2:9" ht="15.75" customHeight="1">
      <c r="B11" s="195"/>
      <c r="C11" s="195"/>
      <c r="D11" s="197" t="s">
        <v>1681</v>
      </c>
      <c r="E11" s="197" t="s">
        <v>1682</v>
      </c>
      <c r="F11" s="197" t="s">
        <v>1683</v>
      </c>
      <c r="G11" s="15"/>
      <c r="H11" s="15"/>
      <c r="I11" s="15"/>
    </row>
    <row r="12" spans="2:9" ht="15.75" customHeight="1">
      <c r="B12" s="108"/>
      <c r="C12" s="108"/>
      <c r="D12" s="108"/>
      <c r="E12" s="108"/>
      <c r="F12" s="108"/>
      <c r="G12" s="15"/>
      <c r="H12" s="15"/>
      <c r="I12" s="15"/>
    </row>
    <row r="13" spans="2:9" ht="15.75" customHeight="1">
      <c r="B13" s="198">
        <v>2</v>
      </c>
      <c r="C13" s="199" t="s">
        <v>1231</v>
      </c>
      <c r="D13" s="199" t="s">
        <v>1684</v>
      </c>
      <c r="E13" s="199" t="s">
        <v>592</v>
      </c>
      <c r="F13" s="199" t="s">
        <v>549</v>
      </c>
      <c r="G13" s="15"/>
      <c r="H13" s="15"/>
      <c r="I13" s="15"/>
    </row>
    <row r="14" spans="2:9" ht="15.75" customHeight="1">
      <c r="B14" s="200"/>
      <c r="C14" s="200"/>
      <c r="D14" s="199" t="s">
        <v>1685</v>
      </c>
      <c r="E14" s="199" t="s">
        <v>598</v>
      </c>
      <c r="F14" s="199" t="s">
        <v>1679</v>
      </c>
      <c r="G14" s="15"/>
      <c r="H14" s="15"/>
      <c r="I14" s="15"/>
    </row>
    <row r="15" spans="2:9" ht="15.75" customHeight="1">
      <c r="B15" s="200"/>
      <c r="C15" s="200"/>
      <c r="D15" s="199" t="s">
        <v>1686</v>
      </c>
      <c r="E15" s="199" t="s">
        <v>1687</v>
      </c>
      <c r="F15" s="199" t="s">
        <v>1683</v>
      </c>
      <c r="G15" s="15"/>
      <c r="H15" s="15"/>
      <c r="I15" s="15"/>
    </row>
    <row r="16" spans="2:9" ht="15.75" customHeight="1">
      <c r="B16" s="200"/>
      <c r="C16" s="200"/>
      <c r="D16" s="199" t="s">
        <v>1688</v>
      </c>
      <c r="E16" s="199" t="s">
        <v>1689</v>
      </c>
      <c r="F16" s="199" t="s">
        <v>1690</v>
      </c>
      <c r="G16" s="15"/>
      <c r="H16" s="15"/>
      <c r="I16" s="15"/>
    </row>
    <row r="17" spans="2:9" ht="15.75" customHeight="1">
      <c r="B17" s="200"/>
      <c r="C17" s="200"/>
      <c r="D17" s="199" t="s">
        <v>1691</v>
      </c>
      <c r="E17" s="199" t="s">
        <v>1692</v>
      </c>
      <c r="F17" s="199" t="s">
        <v>1693</v>
      </c>
      <c r="G17" s="15"/>
      <c r="H17" s="15"/>
      <c r="I17" s="15"/>
    </row>
    <row r="18" spans="2:9" ht="15.75" customHeight="1">
      <c r="B18" s="108"/>
      <c r="C18" s="108"/>
      <c r="D18" s="108"/>
      <c r="E18" s="108"/>
      <c r="F18" s="108"/>
      <c r="G18" s="15"/>
      <c r="H18" s="201" t="s">
        <v>1694</v>
      </c>
      <c r="I18" s="201" t="s">
        <v>1695</v>
      </c>
    </row>
    <row r="19" spans="2:9" ht="15.75" customHeight="1">
      <c r="B19" s="196">
        <v>3</v>
      </c>
      <c r="C19" s="197" t="s">
        <v>1651</v>
      </c>
      <c r="D19" s="197" t="s">
        <v>1696</v>
      </c>
      <c r="E19" s="197" t="s">
        <v>1697</v>
      </c>
      <c r="F19" s="197" t="s">
        <v>1698</v>
      </c>
      <c r="G19" s="15"/>
      <c r="H19" s="109" t="s">
        <v>971</v>
      </c>
      <c r="I19" s="109" t="s">
        <v>468</v>
      </c>
    </row>
    <row r="20" spans="2:9" ht="15.75" customHeight="1">
      <c r="B20" s="195"/>
      <c r="C20" s="195"/>
      <c r="D20" s="197" t="s">
        <v>1699</v>
      </c>
      <c r="E20" s="197" t="s">
        <v>1697</v>
      </c>
      <c r="F20" s="197" t="s">
        <v>1700</v>
      </c>
      <c r="G20" s="15"/>
      <c r="H20" s="15"/>
      <c r="I20" s="109" t="s">
        <v>1644</v>
      </c>
    </row>
    <row r="21" spans="2:9" ht="15.75" customHeight="1">
      <c r="B21" s="195"/>
      <c r="C21" s="195"/>
      <c r="D21" s="197" t="s">
        <v>1701</v>
      </c>
      <c r="E21" s="197" t="s">
        <v>1697</v>
      </c>
      <c r="F21" s="197" t="s">
        <v>1702</v>
      </c>
      <c r="G21" s="15"/>
      <c r="H21" s="15"/>
      <c r="I21" s="109" t="s">
        <v>975</v>
      </c>
    </row>
    <row r="22" spans="2:9" ht="15.75" customHeight="1">
      <c r="B22" s="195"/>
      <c r="C22" s="195"/>
      <c r="D22" s="197" t="s">
        <v>1703</v>
      </c>
      <c r="E22" s="197" t="s">
        <v>1697</v>
      </c>
      <c r="F22" s="197" t="s">
        <v>1704</v>
      </c>
      <c r="G22" s="15"/>
      <c r="H22" s="15"/>
      <c r="I22" s="109" t="s">
        <v>1705</v>
      </c>
    </row>
    <row r="23" spans="2:9" ht="15.75" customHeight="1">
      <c r="B23" s="195"/>
      <c r="C23" s="195"/>
      <c r="D23" s="197" t="s">
        <v>1706</v>
      </c>
      <c r="E23" s="197" t="s">
        <v>1697</v>
      </c>
      <c r="F23" s="197" t="s">
        <v>1707</v>
      </c>
      <c r="G23" s="15"/>
      <c r="H23" s="15"/>
      <c r="I23" s="109" t="s">
        <v>47</v>
      </c>
    </row>
    <row r="24" spans="2:9" ht="14.4">
      <c r="B24" s="108"/>
      <c r="C24" s="108"/>
      <c r="D24" s="108"/>
      <c r="E24" s="108"/>
      <c r="F24" s="108"/>
      <c r="G24" s="15"/>
      <c r="H24" s="15"/>
      <c r="I24" s="15"/>
    </row>
    <row r="25" spans="2:9" ht="14.4">
      <c r="B25" s="198">
        <v>4</v>
      </c>
      <c r="C25" s="199" t="s">
        <v>1708</v>
      </c>
      <c r="D25" s="199" t="s">
        <v>1709</v>
      </c>
      <c r="E25" s="199" t="s">
        <v>1710</v>
      </c>
      <c r="F25" s="199" t="s">
        <v>1711</v>
      </c>
      <c r="G25" s="15"/>
      <c r="H25" s="15"/>
      <c r="I25" s="15"/>
    </row>
    <row r="26" spans="2:9" ht="14.4">
      <c r="B26" s="202"/>
      <c r="C26" s="200"/>
      <c r="D26" s="199" t="s">
        <v>1712</v>
      </c>
      <c r="E26" s="199" t="s">
        <v>1713</v>
      </c>
      <c r="F26" s="199" t="s">
        <v>1714</v>
      </c>
      <c r="G26" s="15"/>
      <c r="H26" s="15"/>
      <c r="I26" s="15"/>
    </row>
    <row r="27" spans="2:9" ht="14.4">
      <c r="B27" s="200"/>
      <c r="C27" s="200"/>
      <c r="D27" s="199" t="s">
        <v>1715</v>
      </c>
      <c r="E27" s="199" t="s">
        <v>549</v>
      </c>
      <c r="F27" s="199" t="s">
        <v>1716</v>
      </c>
      <c r="G27" s="15"/>
      <c r="H27" s="15"/>
      <c r="I27" s="15"/>
    </row>
    <row r="28" spans="2:9" ht="14.4">
      <c r="B28" s="200"/>
      <c r="C28" s="200"/>
      <c r="D28" s="199" t="s">
        <v>1717</v>
      </c>
      <c r="E28" s="199" t="s">
        <v>322</v>
      </c>
      <c r="F28" s="199" t="s">
        <v>1718</v>
      </c>
      <c r="G28" s="15"/>
      <c r="H28" s="15"/>
      <c r="I28" s="15"/>
    </row>
    <row r="29" spans="2:9" ht="14.4">
      <c r="B29" s="200"/>
      <c r="C29" s="200"/>
      <c r="D29" s="199" t="s">
        <v>1719</v>
      </c>
      <c r="E29" s="199" t="s">
        <v>1720</v>
      </c>
      <c r="F29" s="199" t="s">
        <v>1721</v>
      </c>
      <c r="G29" s="15"/>
      <c r="H29" s="15"/>
      <c r="I29" s="15"/>
    </row>
    <row r="30" spans="2:9" ht="14.4">
      <c r="B30" s="108"/>
      <c r="C30" s="108"/>
      <c r="D30" s="108"/>
      <c r="E30" s="108"/>
      <c r="F30" s="108"/>
      <c r="G30" s="15"/>
      <c r="H30" s="15"/>
      <c r="I30" s="15"/>
    </row>
    <row r="31" spans="2:9" ht="14.4">
      <c r="B31" s="196">
        <v>5</v>
      </c>
      <c r="C31" s="197" t="s">
        <v>1722</v>
      </c>
      <c r="D31" s="197" t="s">
        <v>1723</v>
      </c>
      <c r="E31" s="197" t="s">
        <v>1724</v>
      </c>
      <c r="F31" s="197" t="s">
        <v>1725</v>
      </c>
      <c r="G31" s="15"/>
      <c r="H31" s="15"/>
      <c r="I31" s="15"/>
    </row>
    <row r="32" spans="2:9" ht="14.4">
      <c r="B32" s="195"/>
      <c r="C32" s="195"/>
      <c r="D32" s="195"/>
      <c r="E32" s="197" t="s">
        <v>592</v>
      </c>
      <c r="F32" s="195"/>
      <c r="G32" s="15"/>
      <c r="H32" s="15"/>
      <c r="I32" s="15"/>
    </row>
    <row r="33" spans="2:9" ht="14.4">
      <c r="B33" s="195"/>
      <c r="C33" s="195"/>
      <c r="D33" s="197" t="s">
        <v>1726</v>
      </c>
      <c r="E33" s="196">
        <v>7</v>
      </c>
      <c r="F33" s="203">
        <v>46204</v>
      </c>
      <c r="G33" s="15"/>
      <c r="H33" s="15"/>
      <c r="I33" s="15"/>
    </row>
    <row r="34" spans="2:9" ht="14.4">
      <c r="B34" s="195"/>
      <c r="C34" s="195"/>
      <c r="D34" s="195"/>
      <c r="E34" s="196">
        <v>1</v>
      </c>
      <c r="F34" s="195"/>
      <c r="G34" s="15"/>
      <c r="H34" s="15"/>
      <c r="I34" s="15"/>
    </row>
    <row r="35" spans="2:9" ht="14.4">
      <c r="B35" s="195"/>
      <c r="C35" s="195"/>
      <c r="D35" s="197" t="s">
        <v>1727</v>
      </c>
      <c r="E35" s="197" t="s">
        <v>3</v>
      </c>
      <c r="F35" s="197" t="s">
        <v>1679</v>
      </c>
      <c r="G35" s="15"/>
      <c r="H35" s="15"/>
      <c r="I35" s="15"/>
    </row>
    <row r="36" spans="2:9" ht="14.4">
      <c r="B36" s="195"/>
      <c r="C36" s="195"/>
      <c r="D36" s="195"/>
      <c r="E36" s="197" t="s">
        <v>537</v>
      </c>
      <c r="F36" s="195"/>
      <c r="G36" s="15"/>
      <c r="H36" s="15"/>
      <c r="I36" s="15"/>
    </row>
    <row r="37" spans="2:9" ht="14.4">
      <c r="B37" s="195"/>
      <c r="C37" s="195"/>
      <c r="D37" s="197" t="s">
        <v>1728</v>
      </c>
      <c r="E37" s="197" t="s">
        <v>322</v>
      </c>
      <c r="F37" s="197" t="s">
        <v>1729</v>
      </c>
      <c r="G37" s="15"/>
      <c r="H37" s="15"/>
      <c r="I37" s="15"/>
    </row>
    <row r="38" spans="2:9" ht="14.4">
      <c r="B38" s="195"/>
      <c r="C38" s="195"/>
      <c r="D38" s="195"/>
      <c r="E38" s="197" t="s">
        <v>333</v>
      </c>
      <c r="F38" s="195"/>
      <c r="G38" s="15"/>
      <c r="H38" s="15"/>
      <c r="I38" s="15"/>
    </row>
    <row r="39" spans="2:9" ht="14.4">
      <c r="B39" s="195"/>
      <c r="C39" s="195"/>
      <c r="D39" s="197" t="s">
        <v>1730</v>
      </c>
      <c r="E39" s="196">
        <v>10</v>
      </c>
      <c r="F39" s="204">
        <v>46326</v>
      </c>
      <c r="G39" s="15"/>
      <c r="H39" s="15"/>
      <c r="I39" s="15"/>
    </row>
    <row r="40" spans="2:9" ht="14.4">
      <c r="B40" s="195"/>
      <c r="C40" s="195"/>
      <c r="D40" s="195"/>
      <c r="E40" s="196">
        <v>31</v>
      </c>
      <c r="F40" s="195"/>
      <c r="G40" s="15"/>
      <c r="H40" s="15"/>
      <c r="I40" s="15"/>
    </row>
    <row r="41" spans="2:9" ht="14.4">
      <c r="B41" s="108"/>
      <c r="C41" s="108"/>
      <c r="D41" s="108"/>
      <c r="E41" s="108"/>
      <c r="F41" s="108"/>
      <c r="G41" s="15"/>
      <c r="H41" s="15"/>
      <c r="I41" s="15"/>
    </row>
    <row r="42" spans="2:9" ht="14.4">
      <c r="B42" s="198">
        <v>6</v>
      </c>
      <c r="C42" s="199" t="s">
        <v>760</v>
      </c>
      <c r="D42" s="199" t="s">
        <v>1731</v>
      </c>
      <c r="E42" s="198">
        <v>67</v>
      </c>
      <c r="F42" s="199" t="s">
        <v>349</v>
      </c>
      <c r="G42" s="15"/>
      <c r="H42" s="15"/>
      <c r="I42" s="15"/>
    </row>
    <row r="43" spans="2:9" ht="14.4">
      <c r="B43" s="200"/>
      <c r="C43" s="200"/>
      <c r="D43" s="199" t="s">
        <v>1732</v>
      </c>
      <c r="E43" s="198">
        <v>68</v>
      </c>
      <c r="F43" s="199" t="s">
        <v>361</v>
      </c>
      <c r="G43" s="15"/>
      <c r="H43" s="15"/>
      <c r="I43" s="15"/>
    </row>
    <row r="44" spans="2:9" ht="14.4">
      <c r="B44" s="200"/>
      <c r="C44" s="200"/>
      <c r="D44" s="199" t="s">
        <v>1733</v>
      </c>
      <c r="E44" s="198">
        <v>97</v>
      </c>
      <c r="F44" s="199" t="s">
        <v>1734</v>
      </c>
      <c r="G44" s="15"/>
      <c r="H44" s="15"/>
      <c r="I44" s="15"/>
    </row>
    <row r="45" spans="2:9" ht="14.4">
      <c r="B45" s="200"/>
      <c r="C45" s="200"/>
      <c r="D45" s="199" t="s">
        <v>1735</v>
      </c>
      <c r="E45" s="198">
        <v>48</v>
      </c>
      <c r="F45" s="198">
        <v>0</v>
      </c>
      <c r="G45" s="15"/>
      <c r="H45" s="15"/>
      <c r="I45" s="15"/>
    </row>
    <row r="46" spans="2:9" ht="14.4">
      <c r="B46" s="200"/>
      <c r="C46" s="200"/>
      <c r="D46" s="199" t="s">
        <v>1736</v>
      </c>
      <c r="E46" s="198">
        <v>33</v>
      </c>
      <c r="F46" s="199" t="s">
        <v>1737</v>
      </c>
      <c r="G46" s="15"/>
      <c r="H46" s="15"/>
      <c r="I46" s="15"/>
    </row>
    <row r="47" spans="2:9" ht="14.4">
      <c r="B47" s="108"/>
      <c r="C47" s="108"/>
      <c r="D47" s="108"/>
      <c r="E47" s="108"/>
      <c r="F47" s="108"/>
      <c r="G47" s="15"/>
      <c r="H47" s="15"/>
      <c r="I47" s="15"/>
    </row>
    <row r="48" spans="2:9" ht="14.4">
      <c r="B48" s="196">
        <v>7</v>
      </c>
      <c r="C48" s="197" t="s">
        <v>1738</v>
      </c>
      <c r="D48" s="197" t="s">
        <v>1739</v>
      </c>
      <c r="E48" s="196">
        <v>200</v>
      </c>
      <c r="F48" s="197" t="s">
        <v>1740</v>
      </c>
      <c r="G48" s="15"/>
      <c r="H48" s="15"/>
      <c r="I48" s="15"/>
    </row>
    <row r="49" spans="2:9" ht="14.4">
      <c r="B49" s="195"/>
      <c r="C49" s="195"/>
      <c r="D49" s="197" t="s">
        <v>1741</v>
      </c>
      <c r="E49" s="196">
        <v>30</v>
      </c>
      <c r="F49" s="197" t="s">
        <v>1742</v>
      </c>
      <c r="G49" s="15"/>
      <c r="H49" s="15"/>
      <c r="I49" s="15"/>
    </row>
    <row r="50" spans="2:9" ht="14.4">
      <c r="B50" s="195"/>
      <c r="C50" s="195"/>
      <c r="D50" s="197" t="s">
        <v>1743</v>
      </c>
      <c r="E50" s="196">
        <v>400</v>
      </c>
      <c r="F50" s="197" t="s">
        <v>1744</v>
      </c>
      <c r="G50" s="15"/>
      <c r="H50" s="15"/>
      <c r="I50" s="15"/>
    </row>
    <row r="51" spans="2:9" ht="14.4">
      <c r="B51" s="195"/>
      <c r="C51" s="195"/>
      <c r="D51" s="197" t="s">
        <v>1745</v>
      </c>
      <c r="E51" s="196">
        <v>2000</v>
      </c>
      <c r="F51" s="197" t="s">
        <v>1746</v>
      </c>
      <c r="G51" s="15"/>
      <c r="H51" s="15"/>
      <c r="I51" s="15"/>
    </row>
    <row r="52" spans="2:9" ht="14.4">
      <c r="B52" s="195"/>
      <c r="C52" s="195"/>
      <c r="D52" s="197" t="s">
        <v>1747</v>
      </c>
      <c r="E52" s="196">
        <v>1000</v>
      </c>
      <c r="F52" s="197" t="s">
        <v>1748</v>
      </c>
      <c r="G52" s="15"/>
      <c r="H52" s="15"/>
      <c r="I52" s="15"/>
    </row>
    <row r="53" spans="2:9" ht="14.4">
      <c r="B53" s="108"/>
      <c r="C53" s="108"/>
      <c r="D53" s="108"/>
      <c r="E53" s="108"/>
      <c r="F53" s="108"/>
      <c r="G53" s="15"/>
      <c r="H53" s="15"/>
      <c r="I53" s="15"/>
    </row>
    <row r="54" spans="2:9" ht="14.4">
      <c r="B54" s="198">
        <v>8</v>
      </c>
      <c r="C54" s="199" t="s">
        <v>1749</v>
      </c>
      <c r="D54" s="199" t="s">
        <v>1750</v>
      </c>
      <c r="E54" s="198">
        <v>100.126</v>
      </c>
      <c r="F54" s="198">
        <v>100.13</v>
      </c>
      <c r="G54" s="15"/>
      <c r="H54" s="15"/>
      <c r="I54" s="15"/>
    </row>
    <row r="55" spans="2:9" ht="14.4">
      <c r="B55" s="200"/>
      <c r="C55" s="200"/>
      <c r="D55" s="199" t="s">
        <v>1751</v>
      </c>
      <c r="E55" s="198">
        <v>1000.5</v>
      </c>
      <c r="F55" s="205">
        <v>1000.5</v>
      </c>
      <c r="G55" s="15"/>
      <c r="H55" s="15"/>
      <c r="I55" s="15"/>
    </row>
    <row r="56" spans="2:9" ht="14.4">
      <c r="B56" s="200"/>
      <c r="C56" s="200"/>
      <c r="D56" s="199" t="s">
        <v>1752</v>
      </c>
      <c r="E56" s="198">
        <v>2500.8000000000002</v>
      </c>
      <c r="F56" s="206">
        <v>2501</v>
      </c>
      <c r="G56" s="15"/>
      <c r="H56" s="15"/>
      <c r="I56" s="15"/>
    </row>
    <row r="57" spans="2:9" ht="14.4">
      <c r="B57" s="200"/>
      <c r="C57" s="200"/>
      <c r="D57" s="199" t="s">
        <v>1753</v>
      </c>
      <c r="E57" s="198">
        <v>75.45</v>
      </c>
      <c r="F57" s="198">
        <v>75.45</v>
      </c>
      <c r="G57" s="15"/>
      <c r="H57" s="15"/>
      <c r="I57" s="15"/>
    </row>
    <row r="58" spans="2:9" ht="14.4">
      <c r="B58" s="200"/>
      <c r="C58" s="200"/>
      <c r="D58" s="199" t="s">
        <v>1754</v>
      </c>
      <c r="E58" s="198">
        <v>500.9</v>
      </c>
      <c r="F58" s="198">
        <v>500.9</v>
      </c>
      <c r="G58" s="15"/>
      <c r="H58" s="15"/>
      <c r="I58" s="15"/>
    </row>
    <row r="59" spans="2:9" ht="14.4">
      <c r="B59" s="108"/>
      <c r="C59" s="108"/>
      <c r="D59" s="108"/>
      <c r="E59" s="108"/>
      <c r="F59" s="108"/>
      <c r="G59" s="15"/>
      <c r="H59" s="15"/>
      <c r="I59" s="15"/>
    </row>
    <row r="60" spans="2:9" ht="14.4">
      <c r="B60" s="196">
        <v>9</v>
      </c>
      <c r="C60" s="197" t="s">
        <v>1755</v>
      </c>
      <c r="D60" s="197" t="s">
        <v>1756</v>
      </c>
      <c r="E60" s="197" t="s">
        <v>1757</v>
      </c>
      <c r="F60" s="197" t="s">
        <v>1724</v>
      </c>
      <c r="G60" s="15"/>
      <c r="H60" s="15"/>
      <c r="I60" s="15"/>
    </row>
    <row r="61" spans="2:9" ht="14.4">
      <c r="B61" s="195"/>
      <c r="C61" s="195"/>
      <c r="D61" s="197" t="s">
        <v>1758</v>
      </c>
      <c r="E61" s="196" t="s">
        <v>1759</v>
      </c>
      <c r="F61" s="197" t="s">
        <v>972</v>
      </c>
      <c r="G61" s="15"/>
      <c r="H61" s="15"/>
      <c r="I61" s="15"/>
    </row>
    <row r="62" spans="2:9" ht="14.4">
      <c r="B62" s="195"/>
      <c r="C62" s="195"/>
      <c r="D62" s="197" t="s">
        <v>1760</v>
      </c>
      <c r="E62" s="197" t="s">
        <v>1761</v>
      </c>
      <c r="F62" s="197" t="s">
        <v>1762</v>
      </c>
      <c r="G62" s="15"/>
      <c r="H62" s="15"/>
      <c r="I62" s="15"/>
    </row>
    <row r="63" spans="2:9" ht="14.4">
      <c r="B63" s="195"/>
      <c r="C63" s="195"/>
      <c r="D63" s="197" t="s">
        <v>1763</v>
      </c>
      <c r="E63" s="197" t="s">
        <v>1764</v>
      </c>
      <c r="F63" s="197" t="s">
        <v>3</v>
      </c>
      <c r="G63" s="15"/>
      <c r="H63" s="15"/>
      <c r="I63" s="15"/>
    </row>
    <row r="64" spans="2:9" ht="14.4">
      <c r="B64" s="195"/>
      <c r="C64" s="195"/>
      <c r="D64" s="197" t="s">
        <v>1765</v>
      </c>
      <c r="E64" s="197" t="s">
        <v>1766</v>
      </c>
      <c r="F64" s="197" t="s">
        <v>200</v>
      </c>
      <c r="G64" s="15"/>
      <c r="H64" s="15"/>
      <c r="I64" s="15"/>
    </row>
    <row r="65" spans="2:9" ht="14.4">
      <c r="B65" s="108"/>
      <c r="C65" s="108"/>
      <c r="D65" s="108"/>
      <c r="E65" s="108"/>
      <c r="F65" s="108"/>
      <c r="G65" s="15"/>
      <c r="H65" s="15"/>
      <c r="I65" s="15"/>
    </row>
    <row r="66" spans="2:9" ht="14.4">
      <c r="B66" s="198">
        <v>10</v>
      </c>
      <c r="C66" s="199" t="s">
        <v>1767</v>
      </c>
      <c r="D66" s="199" t="s">
        <v>1768</v>
      </c>
      <c r="E66" s="207">
        <v>9731</v>
      </c>
      <c r="F66" s="207" t="s">
        <v>1769</v>
      </c>
      <c r="G66" s="15"/>
      <c r="H66" s="15"/>
      <c r="I66" s="15"/>
    </row>
    <row r="67" spans="2:9" ht="14.4">
      <c r="B67" s="200"/>
      <c r="C67" s="200"/>
      <c r="D67" s="199" t="s">
        <v>1770</v>
      </c>
      <c r="E67" s="207">
        <v>9733</v>
      </c>
      <c r="F67" s="207" t="s">
        <v>1771</v>
      </c>
      <c r="G67" s="15"/>
      <c r="H67" s="15"/>
      <c r="I67" s="15"/>
    </row>
    <row r="68" spans="2:9" ht="14.4">
      <c r="B68" s="200"/>
      <c r="C68" s="200"/>
      <c r="D68" s="199" t="s">
        <v>1772</v>
      </c>
      <c r="E68" s="207">
        <v>9735</v>
      </c>
      <c r="F68" s="207" t="s">
        <v>1773</v>
      </c>
      <c r="G68" s="15"/>
      <c r="H68" s="15"/>
      <c r="I68" s="15"/>
    </row>
    <row r="69" spans="2:9" ht="14.4">
      <c r="B69" s="200"/>
      <c r="C69" s="200"/>
      <c r="D69" s="199" t="s">
        <v>1774</v>
      </c>
      <c r="E69" s="207">
        <v>9810</v>
      </c>
      <c r="F69" s="207" t="s">
        <v>1775</v>
      </c>
      <c r="G69" s="15"/>
      <c r="H69" s="15"/>
      <c r="I69" s="15"/>
    </row>
    <row r="70" spans="2:9" ht="14.4">
      <c r="B70" s="200"/>
      <c r="C70" s="200"/>
      <c r="D70" s="199" t="s">
        <v>1776</v>
      </c>
      <c r="E70" s="207">
        <v>9834</v>
      </c>
      <c r="F70" s="207" t="s">
        <v>1777</v>
      </c>
      <c r="G70" s="15"/>
      <c r="H70" s="15"/>
      <c r="I70" s="15"/>
    </row>
    <row r="71" spans="2:9" ht="14.4">
      <c r="B71" s="200"/>
      <c r="C71" s="200"/>
      <c r="D71" s="199" t="s">
        <v>1778</v>
      </c>
      <c r="E71" s="207">
        <v>9844</v>
      </c>
      <c r="F71" s="207" t="s">
        <v>1779</v>
      </c>
      <c r="G71" s="15"/>
      <c r="H71" s="15"/>
      <c r="I71" s="15"/>
    </row>
  </sheetData>
  <hyperlinks>
    <hyperlink ref="B5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C3:H25"/>
  <sheetViews>
    <sheetView workbookViewId="0"/>
  </sheetViews>
  <sheetFormatPr defaultColWidth="12.6640625" defaultRowHeight="15.75" customHeight="1"/>
  <cols>
    <col min="5" max="5" width="9.6640625" customWidth="1"/>
    <col min="7" max="7" width="17.21875" customWidth="1"/>
    <col min="8" max="8" width="11.33203125" customWidth="1"/>
  </cols>
  <sheetData>
    <row r="3" spans="3:8">
      <c r="C3" s="136" t="s">
        <v>1074</v>
      </c>
      <c r="D3" s="1" t="s">
        <v>2</v>
      </c>
      <c r="E3" s="1" t="s">
        <v>3</v>
      </c>
      <c r="G3" s="1" t="s">
        <v>4</v>
      </c>
      <c r="H3" s="1" t="s">
        <v>5</v>
      </c>
    </row>
    <row r="5" spans="3:8">
      <c r="H5" s="6" t="e">
        <f ca="1">_xludf.CONCAT(E$5,E$6)</f>
        <v>#NAME?</v>
      </c>
    </row>
    <row r="21" spans="8:8">
      <c r="H21" s="6" t="str">
        <f t="shared" ref="H21:H25" si="0">CLEAN(E21)</f>
        <v/>
      </c>
    </row>
    <row r="22" spans="8:8">
      <c r="H22" s="6" t="str">
        <f t="shared" si="0"/>
        <v/>
      </c>
    </row>
    <row r="23" spans="8:8">
      <c r="H23" s="6" t="str">
        <f t="shared" si="0"/>
        <v/>
      </c>
    </row>
    <row r="24" spans="8:8">
      <c r="H24" s="6" t="str">
        <f t="shared" si="0"/>
        <v/>
      </c>
    </row>
    <row r="25" spans="8:8">
      <c r="H25" s="6" t="str">
        <f t="shared" si="0"/>
        <v/>
      </c>
    </row>
  </sheetData>
  <hyperlinks>
    <hyperlink ref="C3" r:id="rId1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F95"/>
  <sheetViews>
    <sheetView workbookViewId="0"/>
  </sheetViews>
  <sheetFormatPr defaultColWidth="12.6640625" defaultRowHeight="15.75" customHeight="1"/>
  <cols>
    <col min="4" max="4" width="14.77734375" customWidth="1"/>
    <col min="5" max="6" width="17.109375" customWidth="1"/>
  </cols>
  <sheetData>
    <row r="1" spans="1:6" ht="15.75" customHeight="1">
      <c r="A1" s="302" t="s">
        <v>1780</v>
      </c>
      <c r="B1" s="303"/>
      <c r="C1" s="303"/>
    </row>
    <row r="3" spans="1:6">
      <c r="B3" s="208" t="s">
        <v>1781</v>
      </c>
      <c r="C3" s="208" t="s">
        <v>623</v>
      </c>
      <c r="D3" s="208" t="s">
        <v>148</v>
      </c>
      <c r="E3" s="208" t="s">
        <v>149</v>
      </c>
      <c r="F3" s="208" t="s">
        <v>150</v>
      </c>
    </row>
    <row r="4" spans="1:6">
      <c r="B4" s="209"/>
      <c r="C4" s="209"/>
      <c r="D4" s="209"/>
      <c r="E4" s="209"/>
      <c r="F4" s="209"/>
    </row>
    <row r="5" spans="1:6">
      <c r="B5" s="210">
        <v>1</v>
      </c>
      <c r="C5" s="211" t="s">
        <v>17</v>
      </c>
      <c r="D5" s="210" t="s">
        <v>157</v>
      </c>
      <c r="E5" s="210" t="s">
        <v>1057</v>
      </c>
      <c r="F5" s="210" t="e">
        <f ca="1">_xludf.CONCAT(D5,D6)</f>
        <v>#NAME?</v>
      </c>
    </row>
    <row r="6" spans="1:6">
      <c r="B6" s="209"/>
      <c r="C6" s="209"/>
      <c r="D6" s="210" t="s">
        <v>1782</v>
      </c>
      <c r="E6" s="209"/>
      <c r="F6" s="209"/>
    </row>
    <row r="7" spans="1:6">
      <c r="B7" s="210">
        <v>2</v>
      </c>
      <c r="C7" s="209"/>
      <c r="D7" s="210" t="s">
        <v>1783</v>
      </c>
      <c r="E7" s="210" t="s">
        <v>1784</v>
      </c>
      <c r="F7" s="210" t="e">
        <f ca="1">_xludf.CONCAT(D7,D8)</f>
        <v>#NAME?</v>
      </c>
    </row>
    <row r="8" spans="1:6">
      <c r="B8" s="209"/>
      <c r="C8" s="209"/>
      <c r="D8" s="210" t="s">
        <v>1785</v>
      </c>
      <c r="E8" s="209"/>
      <c r="F8" s="209"/>
    </row>
    <row r="9" spans="1:6">
      <c r="B9" s="210">
        <v>3</v>
      </c>
      <c r="C9" s="209"/>
      <c r="D9" s="210" t="s">
        <v>1786</v>
      </c>
      <c r="E9" s="210" t="s">
        <v>1787</v>
      </c>
      <c r="F9" s="209" t="e">
        <f ca="1">_xludf.CONCAT(D9,D10)</f>
        <v>#NAME?</v>
      </c>
    </row>
    <row r="10" spans="1:6">
      <c r="B10" s="209"/>
      <c r="C10" s="209"/>
      <c r="D10" s="210" t="s">
        <v>1788</v>
      </c>
      <c r="E10" s="209"/>
      <c r="F10" s="209"/>
    </row>
    <row r="11" spans="1:6">
      <c r="B11" s="210">
        <v>4</v>
      </c>
      <c r="C11" s="209"/>
      <c r="D11" s="210" t="s">
        <v>1789</v>
      </c>
      <c r="E11" s="210" t="s">
        <v>1061</v>
      </c>
      <c r="F11" s="209" t="e">
        <f ca="1">_xludf.CONCAT(D11,D12)</f>
        <v>#NAME?</v>
      </c>
    </row>
    <row r="12" spans="1:6">
      <c r="B12" s="209"/>
      <c r="C12" s="209"/>
      <c r="D12" s="210" t="s">
        <v>1790</v>
      </c>
      <c r="E12" s="209"/>
      <c r="F12" s="209"/>
    </row>
    <row r="13" spans="1:6">
      <c r="B13" s="210">
        <v>5</v>
      </c>
      <c r="C13" s="209"/>
      <c r="D13" s="210" t="s">
        <v>1791</v>
      </c>
      <c r="E13" s="210" t="s">
        <v>1792</v>
      </c>
      <c r="F13" s="209" t="e">
        <f ca="1">_xludf.CONCAT(D13,D14)</f>
        <v>#NAME?</v>
      </c>
    </row>
    <row r="14" spans="1:6">
      <c r="B14" s="209"/>
      <c r="C14" s="209"/>
      <c r="D14" s="210" t="s">
        <v>1793</v>
      </c>
      <c r="E14" s="209"/>
      <c r="F14" s="209"/>
    </row>
    <row r="15" spans="1:6">
      <c r="B15" s="212"/>
      <c r="C15" s="212"/>
      <c r="D15" s="212"/>
      <c r="E15" s="212"/>
      <c r="F15" s="212"/>
    </row>
    <row r="16" spans="1:6">
      <c r="B16" s="213">
        <v>1</v>
      </c>
      <c r="C16" s="214" t="s">
        <v>68</v>
      </c>
      <c r="D16" s="213" t="s">
        <v>1794</v>
      </c>
      <c r="E16" s="213" t="s">
        <v>1795</v>
      </c>
      <c r="F16" s="212">
        <f>LEN(D16)</f>
        <v>8</v>
      </c>
    </row>
    <row r="17" spans="2:6">
      <c r="B17" s="213">
        <v>2</v>
      </c>
      <c r="C17" s="212"/>
      <c r="D17" s="212"/>
      <c r="E17" s="213" t="s">
        <v>1796</v>
      </c>
      <c r="F17" s="212">
        <f t="shared" ref="F17:F20" si="0">LEN(D17)</f>
        <v>0</v>
      </c>
    </row>
    <row r="18" spans="2:6">
      <c r="B18" s="213">
        <v>3</v>
      </c>
      <c r="C18" s="212"/>
      <c r="D18" s="213" t="s">
        <v>1797</v>
      </c>
      <c r="E18" s="213" t="s">
        <v>1798</v>
      </c>
      <c r="F18" s="212">
        <f t="shared" si="0"/>
        <v>5</v>
      </c>
    </row>
    <row r="19" spans="2:6">
      <c r="B19" s="213">
        <v>4</v>
      </c>
      <c r="C19" s="212"/>
      <c r="D19" s="213" t="s">
        <v>1799</v>
      </c>
      <c r="E19" s="213" t="s">
        <v>1800</v>
      </c>
      <c r="F19" s="212">
        <f t="shared" si="0"/>
        <v>13</v>
      </c>
    </row>
    <row r="20" spans="2:6">
      <c r="B20" s="213">
        <v>5</v>
      </c>
      <c r="C20" s="212"/>
      <c r="D20" s="213" t="s">
        <v>1801</v>
      </c>
      <c r="E20" s="213" t="s">
        <v>1802</v>
      </c>
      <c r="F20" s="212">
        <f t="shared" si="0"/>
        <v>7</v>
      </c>
    </row>
    <row r="21" spans="2:6">
      <c r="B21" s="209"/>
      <c r="C21" s="209"/>
      <c r="D21" s="209"/>
      <c r="E21" s="209"/>
      <c r="F21" s="209"/>
    </row>
    <row r="22" spans="2:6">
      <c r="B22" s="210">
        <v>1</v>
      </c>
      <c r="C22" s="211" t="s">
        <v>134</v>
      </c>
      <c r="D22" s="210" t="s">
        <v>972</v>
      </c>
      <c r="E22" s="210" t="s">
        <v>1803</v>
      </c>
      <c r="F22" s="209" t="str">
        <f t="shared" ref="F22:F26" si="1">UPPER(D22)</f>
        <v>APPLE</v>
      </c>
    </row>
    <row r="23" spans="2:6">
      <c r="B23" s="210">
        <v>2</v>
      </c>
      <c r="C23" s="209"/>
      <c r="D23" s="210" t="s">
        <v>1804</v>
      </c>
      <c r="E23" s="210" t="s">
        <v>1805</v>
      </c>
      <c r="F23" s="209" t="str">
        <f t="shared" si="1"/>
        <v>ARC1@GMAIL.COM</v>
      </c>
    </row>
    <row r="24" spans="2:6" ht="13.2">
      <c r="B24" s="210">
        <v>3</v>
      </c>
      <c r="C24" s="209"/>
      <c r="D24" s="210" t="s">
        <v>1806</v>
      </c>
      <c r="E24" s="210" t="s">
        <v>1807</v>
      </c>
      <c r="F24" s="209" t="str">
        <f t="shared" si="1"/>
        <v>STATE CODE:CA</v>
      </c>
    </row>
    <row r="25" spans="2:6" ht="13.2">
      <c r="B25" s="210">
        <v>4</v>
      </c>
      <c r="C25" s="209"/>
      <c r="D25" s="210" t="s">
        <v>1385</v>
      </c>
      <c r="E25" s="210" t="s">
        <v>1808</v>
      </c>
      <c r="F25" s="209" t="str">
        <f t="shared" si="1"/>
        <v>INDIAN ARMY</v>
      </c>
    </row>
    <row r="26" spans="2:6" ht="13.2">
      <c r="B26" s="210">
        <v>5</v>
      </c>
      <c r="C26" s="209"/>
      <c r="D26" s="210" t="s">
        <v>592</v>
      </c>
      <c r="E26" s="210" t="s">
        <v>1809</v>
      </c>
      <c r="F26" s="209" t="str">
        <f t="shared" si="1"/>
        <v>EXCEL</v>
      </c>
    </row>
    <row r="27" spans="2:6" ht="13.2">
      <c r="B27" s="121"/>
      <c r="C27" s="180"/>
      <c r="D27" s="121"/>
      <c r="E27" s="121"/>
      <c r="F27" s="121"/>
    </row>
    <row r="28" spans="2:6" ht="13.2">
      <c r="B28" s="120">
        <v>1</v>
      </c>
      <c r="C28" s="180" t="s">
        <v>79</v>
      </c>
      <c r="D28" s="120" t="s">
        <v>3</v>
      </c>
      <c r="E28" s="120" t="s">
        <v>1810</v>
      </c>
      <c r="F28" s="121" t="str">
        <f t="shared" ref="F28:F32" si="2">LOWER(D28)</f>
        <v>data</v>
      </c>
    </row>
    <row r="29" spans="2:6" ht="13.2">
      <c r="B29" s="120">
        <v>2</v>
      </c>
      <c r="C29" s="121"/>
      <c r="D29" s="120" t="s">
        <v>1811</v>
      </c>
      <c r="E29" s="120" t="s">
        <v>1812</v>
      </c>
      <c r="F29" s="121" t="str">
        <f t="shared" si="2"/>
        <v>newtask</v>
      </c>
    </row>
    <row r="30" spans="2:6" ht="13.2">
      <c r="B30" s="120">
        <v>3</v>
      </c>
      <c r="C30" s="121"/>
      <c r="D30" s="120" t="s">
        <v>1813</v>
      </c>
      <c r="E30" s="120" t="s">
        <v>1814</v>
      </c>
      <c r="F30" s="121" t="str">
        <f t="shared" si="2"/>
        <v>id</v>
      </c>
    </row>
    <row r="31" spans="2:6" ht="13.2">
      <c r="B31" s="120">
        <v>4</v>
      </c>
      <c r="C31" s="121"/>
      <c r="D31" s="120" t="s">
        <v>1815</v>
      </c>
      <c r="E31" s="120" t="s">
        <v>1816</v>
      </c>
      <c r="F31" s="121" t="str">
        <f t="shared" si="2"/>
        <v>abc</v>
      </c>
    </row>
    <row r="32" spans="2:6" ht="13.2">
      <c r="B32" s="120">
        <v>5</v>
      </c>
      <c r="C32" s="121"/>
      <c r="D32" s="120" t="s">
        <v>1817</v>
      </c>
      <c r="E32" s="120" t="s">
        <v>1818</v>
      </c>
      <c r="F32" s="121" t="str">
        <f t="shared" si="2"/>
        <v>arctech</v>
      </c>
    </row>
    <row r="33" spans="2:6" ht="13.2">
      <c r="B33" s="209"/>
      <c r="C33" s="209"/>
      <c r="D33" s="209"/>
      <c r="E33" s="209"/>
      <c r="F33" s="209"/>
    </row>
    <row r="34" spans="2:6" ht="13.2">
      <c r="B34" s="210">
        <v>1</v>
      </c>
      <c r="C34" s="211" t="s">
        <v>57</v>
      </c>
      <c r="D34" s="210" t="s">
        <v>1819</v>
      </c>
      <c r="E34" s="210" t="s">
        <v>1820</v>
      </c>
      <c r="F34" s="209" t="str">
        <f t="shared" ref="F34:F35" si="3">LEFT(D34)</f>
        <v>i</v>
      </c>
    </row>
    <row r="35" spans="2:6" ht="13.2">
      <c r="B35" s="210">
        <v>2</v>
      </c>
      <c r="C35" s="209"/>
      <c r="D35" s="210" t="s">
        <v>899</v>
      </c>
      <c r="E35" s="210" t="s">
        <v>1821</v>
      </c>
      <c r="F35" s="209" t="str">
        <f t="shared" si="3"/>
        <v>b</v>
      </c>
    </row>
    <row r="36" spans="2:6" ht="13.2">
      <c r="B36" s="210">
        <v>3</v>
      </c>
      <c r="C36" s="209"/>
      <c r="D36" s="210" t="s">
        <v>971</v>
      </c>
      <c r="E36" s="210" t="s">
        <v>1822</v>
      </c>
      <c r="F36" s="209" t="str">
        <f>LEFT(D36,D37)</f>
        <v>App</v>
      </c>
    </row>
    <row r="37" spans="2:6" ht="13.2">
      <c r="B37" s="209"/>
      <c r="C37" s="209"/>
      <c r="D37" s="210">
        <v>3</v>
      </c>
      <c r="E37" s="209"/>
      <c r="F37" s="209"/>
    </row>
    <row r="38" spans="2:6" ht="13.2">
      <c r="B38" s="210">
        <v>4</v>
      </c>
      <c r="C38" s="209"/>
      <c r="D38" s="210" t="s">
        <v>1823</v>
      </c>
      <c r="E38" s="210" t="s">
        <v>1824</v>
      </c>
      <c r="F38" s="209" t="str">
        <f>LEFT(D38,D39)</f>
        <v>img</v>
      </c>
    </row>
    <row r="39" spans="2:6" ht="13.2">
      <c r="B39" s="209"/>
      <c r="C39" s="209"/>
      <c r="D39" s="210">
        <v>3</v>
      </c>
      <c r="E39" s="209"/>
      <c r="F39" s="209"/>
    </row>
    <row r="40" spans="2:6" ht="13.2">
      <c r="B40" s="210">
        <v>5</v>
      </c>
      <c r="C40" s="209"/>
      <c r="D40" s="210">
        <v>9198675</v>
      </c>
      <c r="E40" s="209"/>
      <c r="F40" s="210" t="str">
        <f>LEFT(D40,D41)</f>
        <v>9</v>
      </c>
    </row>
    <row r="41" spans="2:6" ht="13.2">
      <c r="B41" s="215"/>
      <c r="C41" s="215"/>
      <c r="D41" s="216">
        <v>1</v>
      </c>
      <c r="E41" s="215"/>
      <c r="F41" s="215"/>
    </row>
    <row r="42" spans="2:6" ht="13.2">
      <c r="B42" s="216">
        <v>1</v>
      </c>
      <c r="C42" s="217" t="s">
        <v>123</v>
      </c>
      <c r="D42" s="216" t="s">
        <v>1825</v>
      </c>
      <c r="E42" s="216" t="s">
        <v>1826</v>
      </c>
      <c r="F42" s="215" t="str">
        <f>RIGHT(D42)</f>
        <v>1</v>
      </c>
    </row>
    <row r="43" spans="2:6" ht="13.2">
      <c r="B43" s="216">
        <v>2</v>
      </c>
      <c r="C43" s="215"/>
      <c r="D43" s="216" t="s">
        <v>1827</v>
      </c>
      <c r="E43" s="216" t="s">
        <v>1828</v>
      </c>
      <c r="F43" s="215" t="str">
        <f>RIGHT(D43,D44)</f>
        <v>city</v>
      </c>
    </row>
    <row r="44" spans="2:6" ht="13.2">
      <c r="B44" s="215"/>
      <c r="C44" s="215"/>
      <c r="D44" s="216">
        <v>4</v>
      </c>
      <c r="E44" s="215"/>
      <c r="F44" s="215"/>
    </row>
    <row r="45" spans="2:6" ht="13.2">
      <c r="B45" s="216">
        <v>3</v>
      </c>
      <c r="C45" s="215"/>
      <c r="D45" s="216" t="s">
        <v>1829</v>
      </c>
      <c r="E45" s="216" t="s">
        <v>1830</v>
      </c>
      <c r="F45" s="215" t="str">
        <f>RIGHT(D45)</f>
        <v>6</v>
      </c>
    </row>
    <row r="46" spans="2:6" ht="13.2">
      <c r="B46" s="215"/>
      <c r="C46" s="215"/>
      <c r="D46" s="216">
        <v>0</v>
      </c>
      <c r="E46" s="215"/>
      <c r="F46" s="215"/>
    </row>
    <row r="47" spans="2:6" ht="13.2">
      <c r="B47" s="216">
        <v>4</v>
      </c>
      <c r="C47" s="215"/>
      <c r="D47" s="216" t="s">
        <v>1831</v>
      </c>
      <c r="E47" s="216" t="s">
        <v>1832</v>
      </c>
      <c r="F47" s="215" t="str">
        <f>RIGHT(D47,D48)</f>
        <v>table</v>
      </c>
    </row>
    <row r="48" spans="2:6" ht="13.2">
      <c r="B48" s="215"/>
      <c r="C48" s="215"/>
      <c r="D48" s="216">
        <v>5</v>
      </c>
      <c r="E48" s="215"/>
      <c r="F48" s="215"/>
    </row>
    <row r="49" spans="2:6" ht="13.2">
      <c r="B49" s="216">
        <v>5</v>
      </c>
      <c r="C49" s="215"/>
      <c r="D49" s="216" t="s">
        <v>1833</v>
      </c>
      <c r="E49" s="216" t="s">
        <v>1834</v>
      </c>
      <c r="F49" s="215" t="str">
        <f>RIGHT(D49)</f>
        <v>5</v>
      </c>
    </row>
    <row r="50" spans="2:6" ht="13.2">
      <c r="B50" s="209"/>
      <c r="C50" s="209"/>
      <c r="D50" s="209"/>
      <c r="E50" s="209"/>
      <c r="F50" s="209"/>
    </row>
    <row r="51" spans="2:6" ht="13.2">
      <c r="B51" s="210">
        <v>1</v>
      </c>
      <c r="C51" s="211" t="s">
        <v>6</v>
      </c>
      <c r="D51" s="210" t="s">
        <v>1835</v>
      </c>
      <c r="E51" s="210" t="s">
        <v>1836</v>
      </c>
      <c r="F51" s="209" t="str">
        <f t="shared" ref="F51:F55" si="4">CLEAN(D51)</f>
        <v xml:space="preserve"> School</v>
      </c>
    </row>
    <row r="52" spans="2:6" ht="13.2">
      <c r="B52" s="210">
        <v>2</v>
      </c>
      <c r="C52" s="209"/>
      <c r="D52" s="210" t="s">
        <v>1837</v>
      </c>
      <c r="E52" s="210" t="s">
        <v>265</v>
      </c>
      <c r="F52" s="209" t="str">
        <f t="shared" si="4"/>
        <v>pen</v>
      </c>
    </row>
    <row r="53" spans="2:6" ht="13.2">
      <c r="B53" s="210">
        <v>3</v>
      </c>
      <c r="C53" s="209"/>
      <c r="D53" s="210" t="s">
        <v>1838</v>
      </c>
      <c r="E53" s="210" t="s">
        <v>268</v>
      </c>
      <c r="F53" s="209" t="str">
        <f t="shared" si="4"/>
        <v>google</v>
      </c>
    </row>
    <row r="54" spans="2:6" ht="13.2">
      <c r="B54" s="210">
        <v>4</v>
      </c>
      <c r="C54" s="209"/>
      <c r="D54" s="210" t="s">
        <v>1839</v>
      </c>
      <c r="E54" s="210" t="s">
        <v>271</v>
      </c>
      <c r="F54" s="209" t="str">
        <f t="shared" si="4"/>
        <v>worksheet</v>
      </c>
    </row>
    <row r="55" spans="2:6" ht="13.2">
      <c r="B55" s="210">
        <v>5</v>
      </c>
      <c r="C55" s="209"/>
      <c r="D55" s="210" t="s">
        <v>1840</v>
      </c>
      <c r="E55" s="210" t="s">
        <v>274</v>
      </c>
      <c r="F55" s="209" t="str">
        <f t="shared" si="4"/>
        <v>hello</v>
      </c>
    </row>
    <row r="56" spans="2:6" ht="13.2">
      <c r="B56" s="209"/>
      <c r="C56" s="209"/>
      <c r="D56" s="209"/>
      <c r="E56" s="209"/>
      <c r="F56" s="209"/>
    </row>
    <row r="57" spans="2:6" ht="13.2">
      <c r="B57" s="218">
        <v>1</v>
      </c>
      <c r="C57" s="219" t="s">
        <v>90</v>
      </c>
      <c r="D57" s="218" t="s">
        <v>1841</v>
      </c>
      <c r="E57" s="218" t="s">
        <v>1842</v>
      </c>
      <c r="F57" s="220" t="str">
        <f>MID(D57,D58,D59)</f>
        <v>dle</v>
      </c>
    </row>
    <row r="58" spans="2:6" ht="13.2">
      <c r="B58" s="220"/>
      <c r="C58" s="220"/>
      <c r="D58" s="218">
        <v>4</v>
      </c>
      <c r="E58" s="218"/>
      <c r="F58" s="220"/>
    </row>
    <row r="59" spans="2:6" ht="13.2">
      <c r="B59" s="220"/>
      <c r="C59" s="220"/>
      <c r="D59" s="218">
        <v>3</v>
      </c>
      <c r="E59" s="220"/>
      <c r="F59" s="220"/>
    </row>
    <row r="60" spans="2:6" ht="13.2">
      <c r="B60" s="218">
        <v>2</v>
      </c>
      <c r="C60" s="220"/>
      <c r="D60" s="218" t="s">
        <v>1791</v>
      </c>
      <c r="E60" s="218" t="s">
        <v>1843</v>
      </c>
      <c r="F60" s="220" t="str">
        <f>MID(D60,D61,D62)</f>
        <v>ame</v>
      </c>
    </row>
    <row r="61" spans="2:6" ht="13.2">
      <c r="B61" s="220"/>
      <c r="C61" s="220"/>
      <c r="D61" s="218">
        <v>2</v>
      </c>
      <c r="E61" s="220"/>
      <c r="F61" s="220"/>
    </row>
    <row r="62" spans="2:6" ht="13.2">
      <c r="B62" s="220"/>
      <c r="C62" s="220"/>
      <c r="D62" s="218">
        <v>4</v>
      </c>
      <c r="E62" s="220"/>
      <c r="F62" s="220"/>
    </row>
    <row r="63" spans="2:6" ht="13.2">
      <c r="B63" s="218">
        <v>3</v>
      </c>
      <c r="C63" s="220"/>
      <c r="D63" s="218" t="s">
        <v>1844</v>
      </c>
      <c r="E63" s="218" t="s">
        <v>1845</v>
      </c>
      <c r="F63" s="220" t="str">
        <f>MID(D63,D64,D65)</f>
        <v>gm</v>
      </c>
    </row>
    <row r="64" spans="2:6" ht="13.2">
      <c r="B64" s="220"/>
      <c r="C64" s="220"/>
      <c r="D64" s="218">
        <v>1</v>
      </c>
      <c r="E64" s="220"/>
      <c r="F64" s="220"/>
    </row>
    <row r="65" spans="2:6" ht="13.2">
      <c r="B65" s="220"/>
      <c r="C65" s="220"/>
      <c r="D65" s="218">
        <v>2</v>
      </c>
      <c r="E65" s="220"/>
      <c r="F65" s="220"/>
    </row>
    <row r="66" spans="2:6" ht="13.2">
      <c r="B66" s="218">
        <v>4</v>
      </c>
      <c r="C66" s="220"/>
      <c r="D66" s="218" t="s">
        <v>1846</v>
      </c>
      <c r="E66" s="218" t="s">
        <v>1847</v>
      </c>
      <c r="F66" s="220" t="str">
        <f>MID(D66,D67,D68)</f>
        <v>cttas</v>
      </c>
    </row>
    <row r="67" spans="2:6" ht="13.2">
      <c r="B67" s="220"/>
      <c r="C67" s="220"/>
      <c r="D67" s="218">
        <v>6</v>
      </c>
      <c r="E67" s="220"/>
      <c r="F67" s="220"/>
    </row>
    <row r="68" spans="2:6" ht="13.2">
      <c r="B68" s="220"/>
      <c r="C68" s="220"/>
      <c r="D68" s="218">
        <v>5</v>
      </c>
      <c r="E68" s="220"/>
      <c r="F68" s="220"/>
    </row>
    <row r="69" spans="2:6" ht="13.2">
      <c r="B69" s="218">
        <v>5</v>
      </c>
      <c r="C69" s="220"/>
      <c r="D69" s="218" t="s">
        <v>1848</v>
      </c>
      <c r="E69" s="218" t="s">
        <v>1849</v>
      </c>
      <c r="F69" s="220" t="str">
        <f>MID(D69,D70,D71)</f>
        <v xml:space="preserve"> book sheet</v>
      </c>
    </row>
    <row r="70" spans="2:6" ht="13.2">
      <c r="B70" s="220"/>
      <c r="C70" s="220"/>
      <c r="D70" s="218">
        <v>5</v>
      </c>
      <c r="E70" s="220"/>
      <c r="F70" s="220"/>
    </row>
    <row r="71" spans="2:6" ht="13.2">
      <c r="B71" s="220"/>
      <c r="C71" s="220"/>
      <c r="D71" s="218">
        <v>78</v>
      </c>
      <c r="E71" s="220"/>
      <c r="F71" s="220"/>
    </row>
    <row r="72" spans="2:6" ht="13.2">
      <c r="B72" s="210">
        <v>1</v>
      </c>
      <c r="C72" s="211" t="s">
        <v>33</v>
      </c>
      <c r="D72" s="210" t="s">
        <v>1850</v>
      </c>
      <c r="E72" s="210" t="s">
        <v>1851</v>
      </c>
      <c r="F72" s="210">
        <f>FIND("r",D72,2)</f>
        <v>10</v>
      </c>
    </row>
    <row r="73" spans="2:6" ht="13.2">
      <c r="B73" s="209"/>
      <c r="C73" s="209"/>
      <c r="D73" s="209"/>
      <c r="E73" s="209"/>
      <c r="F73" s="209"/>
    </row>
    <row r="74" spans="2:6" ht="13.2">
      <c r="B74" s="210">
        <v>2</v>
      </c>
      <c r="C74" s="209"/>
      <c r="D74" s="210" t="s">
        <v>1100</v>
      </c>
      <c r="E74" s="210" t="s">
        <v>1852</v>
      </c>
      <c r="F74" s="209">
        <f>FIND("w",D74,1)</f>
        <v>1</v>
      </c>
    </row>
    <row r="75" spans="2:6" ht="13.2">
      <c r="B75" s="209"/>
      <c r="C75" s="209"/>
      <c r="D75" s="210"/>
      <c r="E75" s="209"/>
      <c r="F75" s="209"/>
    </row>
    <row r="76" spans="2:6" ht="13.2">
      <c r="B76" s="210">
        <v>3</v>
      </c>
      <c r="C76" s="209"/>
      <c r="D76" s="210" t="s">
        <v>1853</v>
      </c>
      <c r="E76" s="210" t="s">
        <v>1854</v>
      </c>
      <c r="F76" s="209">
        <f>FIND("a",D76,2)</f>
        <v>2</v>
      </c>
    </row>
    <row r="77" spans="2:6" ht="13.2">
      <c r="B77" s="210">
        <v>4</v>
      </c>
      <c r="C77" s="209"/>
      <c r="D77" s="210" t="s">
        <v>1853</v>
      </c>
      <c r="E77" s="210" t="s">
        <v>1855</v>
      </c>
      <c r="F77" s="209">
        <f>FIND("t",D77,1)</f>
        <v>1</v>
      </c>
    </row>
    <row r="78" spans="2:6" ht="13.2">
      <c r="B78" s="210">
        <v>5</v>
      </c>
      <c r="C78" s="209"/>
      <c r="D78" s="210" t="s">
        <v>1853</v>
      </c>
      <c r="E78" s="210" t="s">
        <v>1856</v>
      </c>
      <c r="F78" s="209">
        <f>FIND("k",D78)</f>
        <v>4</v>
      </c>
    </row>
    <row r="79" spans="2:6" ht="13.2">
      <c r="B79" s="220"/>
      <c r="C79" s="220"/>
      <c r="D79" s="220"/>
      <c r="E79" s="220"/>
      <c r="F79" s="220"/>
    </row>
    <row r="80" spans="2:6" ht="13.2">
      <c r="B80" s="218">
        <v>1</v>
      </c>
      <c r="C80" s="219" t="s">
        <v>1392</v>
      </c>
      <c r="D80" s="218" t="s">
        <v>1563</v>
      </c>
      <c r="E80" s="218" t="s">
        <v>1857</v>
      </c>
      <c r="F80" s="220" t="str">
        <f t="shared" ref="F80:F84" si="5">TRIM(D80)</f>
        <v>Hello World</v>
      </c>
    </row>
    <row r="81" spans="2:6" ht="13.2">
      <c r="B81" s="218">
        <v>2</v>
      </c>
      <c r="C81" s="220"/>
      <c r="D81" s="218" t="s">
        <v>1858</v>
      </c>
      <c r="E81" s="218" t="s">
        <v>1859</v>
      </c>
      <c r="F81" s="220" t="str">
        <f t="shared" si="5"/>
        <v>gudi-padwa</v>
      </c>
    </row>
    <row r="82" spans="2:6" ht="13.2">
      <c r="B82" s="218">
        <v>3</v>
      </c>
      <c r="C82" s="220"/>
      <c r="D82" s="218" t="s">
        <v>1860</v>
      </c>
      <c r="E82" s="218" t="s">
        <v>1861</v>
      </c>
      <c r="F82" s="220" t="str">
        <f t="shared" si="5"/>
        <v>new year</v>
      </c>
    </row>
    <row r="83" spans="2:6" ht="13.2">
      <c r="B83" s="218">
        <v>4</v>
      </c>
      <c r="C83" s="220"/>
      <c r="D83" s="218" t="s">
        <v>1862</v>
      </c>
      <c r="E83" s="218" t="s">
        <v>1863</v>
      </c>
      <c r="F83" s="220" t="str">
        <f t="shared" si="5"/>
        <v>data analyst</v>
      </c>
    </row>
    <row r="84" spans="2:6" ht="13.2">
      <c r="B84" s="218">
        <v>5</v>
      </c>
      <c r="C84" s="220"/>
      <c r="D84" s="218">
        <v>123</v>
      </c>
      <c r="E84" s="218" t="s">
        <v>1864</v>
      </c>
      <c r="F84" s="220" t="str">
        <f t="shared" si="5"/>
        <v>123</v>
      </c>
    </row>
    <row r="85" spans="2:6" ht="13.2">
      <c r="B85" s="209"/>
      <c r="C85" s="209"/>
      <c r="D85" s="209"/>
      <c r="E85" s="209"/>
      <c r="F85" s="209"/>
    </row>
    <row r="86" spans="2:6" ht="13.2">
      <c r="B86" s="210">
        <v>1</v>
      </c>
      <c r="C86" s="211" t="s">
        <v>44</v>
      </c>
      <c r="D86" s="210" t="s">
        <v>1865</v>
      </c>
      <c r="E86" s="210" t="s">
        <v>1866</v>
      </c>
      <c r="F86" s="209" t="b">
        <f>EXACT(D86,D87)</f>
        <v>0</v>
      </c>
    </row>
    <row r="87" spans="2:6" ht="13.2">
      <c r="B87" s="209"/>
      <c r="C87" s="209"/>
      <c r="D87" s="210" t="s">
        <v>983</v>
      </c>
      <c r="E87" s="209"/>
      <c r="F87" s="209"/>
    </row>
    <row r="88" spans="2:6" ht="13.2">
      <c r="B88" s="210">
        <v>2</v>
      </c>
      <c r="C88" s="209"/>
      <c r="D88" s="210" t="s">
        <v>1867</v>
      </c>
      <c r="E88" s="210" t="s">
        <v>1868</v>
      </c>
      <c r="F88" s="209" t="b">
        <f>EXACT(D88,D89)</f>
        <v>1</v>
      </c>
    </row>
    <row r="89" spans="2:6" ht="13.2">
      <c r="B89" s="209"/>
      <c r="C89" s="209"/>
      <c r="D89" s="210" t="s">
        <v>1867</v>
      </c>
      <c r="E89" s="209"/>
      <c r="F89" s="209"/>
    </row>
    <row r="90" spans="2:6" ht="13.2">
      <c r="B90" s="210">
        <v>3</v>
      </c>
      <c r="C90" s="209"/>
      <c r="D90" s="210" t="s">
        <v>1869</v>
      </c>
      <c r="E90" s="210" t="s">
        <v>1870</v>
      </c>
      <c r="F90" s="209" t="b">
        <f>EXACT(D90,D91)</f>
        <v>0</v>
      </c>
    </row>
    <row r="91" spans="2:6" ht="13.2">
      <c r="B91" s="209"/>
      <c r="C91" s="209"/>
      <c r="D91" s="210" t="s">
        <v>1871</v>
      </c>
      <c r="E91" s="209"/>
      <c r="F91" s="209"/>
    </row>
    <row r="92" spans="2:6" ht="13.2">
      <c r="B92" s="210">
        <v>4</v>
      </c>
      <c r="C92" s="209"/>
      <c r="D92" s="210" t="s">
        <v>697</v>
      </c>
      <c r="E92" s="210" t="s">
        <v>1872</v>
      </c>
      <c r="F92" s="210" t="s">
        <v>1872</v>
      </c>
    </row>
    <row r="93" spans="2:6" ht="13.2">
      <c r="B93" s="209"/>
      <c r="C93" s="209"/>
      <c r="D93" s="210" t="s">
        <v>1873</v>
      </c>
      <c r="E93" s="209"/>
      <c r="F93" s="209"/>
    </row>
    <row r="94" spans="2:6" ht="13.2">
      <c r="B94" s="210">
        <v>5</v>
      </c>
      <c r="C94" s="209"/>
      <c r="D94" s="210" t="s">
        <v>1840</v>
      </c>
      <c r="E94" s="210" t="s">
        <v>1874</v>
      </c>
      <c r="F94" s="209" t="b">
        <f>EXACT(D94,D95)</f>
        <v>1</v>
      </c>
    </row>
    <row r="95" spans="2:6" ht="13.2">
      <c r="B95" s="209"/>
      <c r="C95" s="209"/>
      <c r="D95" s="210" t="s">
        <v>1840</v>
      </c>
      <c r="E95" s="209"/>
      <c r="F95" s="209"/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D3:L79"/>
  <sheetViews>
    <sheetView workbookViewId="0"/>
  </sheetViews>
  <sheetFormatPr defaultColWidth="12.6640625" defaultRowHeight="15.75" customHeight="1"/>
  <cols>
    <col min="8" max="8" width="7.77734375" customWidth="1"/>
    <col min="9" max="9" width="24.109375" customWidth="1"/>
    <col min="10" max="10" width="7.77734375" customWidth="1"/>
    <col min="11" max="11" width="15.109375" customWidth="1"/>
  </cols>
  <sheetData>
    <row r="3" spans="4:12">
      <c r="D3" s="221" t="s">
        <v>1875</v>
      </c>
      <c r="E3" s="221" t="s">
        <v>2</v>
      </c>
      <c r="F3" s="304" t="s">
        <v>519</v>
      </c>
      <c r="G3" s="303"/>
      <c r="H3" s="222"/>
      <c r="I3" s="221" t="s">
        <v>4</v>
      </c>
      <c r="J3" s="222"/>
      <c r="K3" s="221" t="s">
        <v>1513</v>
      </c>
    </row>
    <row r="5" spans="4:12">
      <c r="D5" s="72">
        <v>1</v>
      </c>
      <c r="E5" s="223" t="s">
        <v>1876</v>
      </c>
      <c r="F5" s="1" t="s">
        <v>1877</v>
      </c>
      <c r="K5" s="6" t="e">
        <f ca="1">_xludf.TEXTJOIN(" ",0,F5,F6,F7)</f>
        <v>#NAME?</v>
      </c>
    </row>
    <row r="6" spans="4:12">
      <c r="D6" s="14"/>
      <c r="F6" s="1" t="s">
        <v>1878</v>
      </c>
    </row>
    <row r="7" spans="4:12">
      <c r="D7" s="14"/>
      <c r="F7" s="1" t="s">
        <v>962</v>
      </c>
    </row>
    <row r="8" spans="4:12">
      <c r="D8" s="134"/>
      <c r="F8" s="1" t="s">
        <v>1879</v>
      </c>
      <c r="I8" s="1" t="s">
        <v>1880</v>
      </c>
      <c r="K8" s="6" t="e">
        <f ca="1">_xludf.CONCAT(F8,F9)</f>
        <v>#NAME?</v>
      </c>
      <c r="L8" s="6" t="str">
        <f>CONCATENATE(F8," ",F9)</f>
        <v>Rohit Hitman</v>
      </c>
    </row>
    <row r="9" spans="4:12">
      <c r="D9" s="14"/>
      <c r="F9" s="1" t="s">
        <v>1881</v>
      </c>
    </row>
    <row r="10" spans="4:12">
      <c r="D10" s="134"/>
      <c r="F10" s="1" t="s">
        <v>1882</v>
      </c>
      <c r="I10" s="1" t="s">
        <v>1883</v>
      </c>
      <c r="K10" s="6" t="e">
        <f ca="1">_xludf.CONCAT(F10,F11)</f>
        <v>#NAME?</v>
      </c>
    </row>
    <row r="11" spans="4:12">
      <c r="D11" s="14"/>
      <c r="F11" s="1" t="s">
        <v>1884</v>
      </c>
    </row>
    <row r="12" spans="4:12">
      <c r="D12" s="134"/>
      <c r="F12" s="1" t="s">
        <v>1885</v>
      </c>
      <c r="G12" s="1" t="s">
        <v>1886</v>
      </c>
      <c r="I12" s="1" t="s">
        <v>1887</v>
      </c>
      <c r="K12" s="6" t="e">
        <f t="shared" ref="K12:K13" ca="1" si="0">_xludf.CONCAT(F12,G12)</f>
        <v>#NAME?</v>
      </c>
    </row>
    <row r="13" spans="4:12">
      <c r="D13" s="134"/>
      <c r="F13" s="1" t="s">
        <v>1888</v>
      </c>
      <c r="G13" s="1" t="s">
        <v>1889</v>
      </c>
      <c r="I13" s="1" t="s">
        <v>1890</v>
      </c>
      <c r="K13" s="6" t="e">
        <f t="shared" ca="1" si="0"/>
        <v>#NAME?</v>
      </c>
    </row>
    <row r="15" spans="4:12">
      <c r="D15" s="72">
        <v>2</v>
      </c>
      <c r="E15" s="223" t="s">
        <v>1176</v>
      </c>
      <c r="F15" s="1" t="s">
        <v>1891</v>
      </c>
      <c r="I15" s="1" t="s">
        <v>647</v>
      </c>
      <c r="K15" s="6" t="str">
        <f t="shared" ref="K15:K19" si="1">CLEAN(F15)</f>
        <v>Sheet 1</v>
      </c>
    </row>
    <row r="16" spans="4:12">
      <c r="F16" s="1" t="s">
        <v>1892</v>
      </c>
      <c r="I16" s="1" t="s">
        <v>649</v>
      </c>
      <c r="K16" s="6" t="str">
        <f t="shared" si="1"/>
        <v>Sheet 2</v>
      </c>
    </row>
    <row r="17" spans="4:11">
      <c r="F17" s="1" t="s">
        <v>1893</v>
      </c>
      <c r="I17" s="1" t="s">
        <v>1894</v>
      </c>
      <c r="K17" s="6" t="str">
        <f t="shared" si="1"/>
        <v>Sheet 3</v>
      </c>
    </row>
    <row r="18" spans="4:11">
      <c r="F18" s="1" t="s">
        <v>1895</v>
      </c>
      <c r="I18" s="1" t="s">
        <v>1896</v>
      </c>
      <c r="K18" s="6" t="str">
        <f t="shared" si="1"/>
        <v>Sheet 4</v>
      </c>
    </row>
    <row r="19" spans="4:11">
      <c r="F19" s="1" t="s">
        <v>1897</v>
      </c>
      <c r="I19" s="1" t="s">
        <v>1898</v>
      </c>
      <c r="K19" s="6" t="str">
        <f t="shared" si="1"/>
        <v>Sheet 5</v>
      </c>
    </row>
    <row r="21" spans="4:11">
      <c r="D21" s="133">
        <v>3</v>
      </c>
      <c r="E21" s="223" t="s">
        <v>1181</v>
      </c>
      <c r="F21" s="1" t="s">
        <v>1899</v>
      </c>
      <c r="G21" s="1" t="s">
        <v>1900</v>
      </c>
      <c r="I21" s="1" t="s">
        <v>1901</v>
      </c>
      <c r="K21" s="6" t="b">
        <f t="shared" ref="K21:K25" si="2">EXACT(F21,G21)</f>
        <v>0</v>
      </c>
    </row>
    <row r="22" spans="4:11">
      <c r="F22" s="1" t="s">
        <v>1899</v>
      </c>
      <c r="G22" s="1" t="s">
        <v>1899</v>
      </c>
      <c r="I22" s="1" t="s">
        <v>663</v>
      </c>
      <c r="K22" s="6" t="b">
        <f t="shared" si="2"/>
        <v>1</v>
      </c>
    </row>
    <row r="23" spans="4:11">
      <c r="F23" s="1" t="s">
        <v>1902</v>
      </c>
      <c r="G23" s="1" t="s">
        <v>1902</v>
      </c>
      <c r="I23" s="1" t="s">
        <v>1903</v>
      </c>
      <c r="K23" s="6" t="b">
        <f t="shared" si="2"/>
        <v>1</v>
      </c>
    </row>
    <row r="24" spans="4:11">
      <c r="F24" s="1" t="s">
        <v>1899</v>
      </c>
      <c r="G24" s="1" t="s">
        <v>1904</v>
      </c>
      <c r="I24" s="1" t="s">
        <v>1905</v>
      </c>
      <c r="K24" s="6" t="b">
        <f t="shared" si="2"/>
        <v>0</v>
      </c>
    </row>
    <row r="25" spans="4:11">
      <c r="F25" s="1" t="s">
        <v>1906</v>
      </c>
      <c r="G25" s="1" t="s">
        <v>1904</v>
      </c>
      <c r="I25" s="1" t="s">
        <v>790</v>
      </c>
      <c r="K25" s="6" t="b">
        <f t="shared" si="2"/>
        <v>0</v>
      </c>
    </row>
    <row r="27" spans="4:11">
      <c r="D27" s="72">
        <v>4</v>
      </c>
      <c r="E27" s="223" t="s">
        <v>1187</v>
      </c>
      <c r="F27" s="1" t="s">
        <v>350</v>
      </c>
      <c r="I27" s="1" t="s">
        <v>1907</v>
      </c>
      <c r="K27" s="6">
        <f>FIND("a",F27)</f>
        <v>5</v>
      </c>
    </row>
    <row r="28" spans="4:11">
      <c r="F28" s="1" t="s">
        <v>1908</v>
      </c>
      <c r="I28" s="1" t="s">
        <v>1909</v>
      </c>
      <c r="K28" s="6">
        <f>FIND("n",F28,5)</f>
        <v>5</v>
      </c>
    </row>
    <row r="29" spans="4:11">
      <c r="F29" s="1" t="s">
        <v>1910</v>
      </c>
      <c r="I29" s="1" t="s">
        <v>1911</v>
      </c>
      <c r="K29" s="6">
        <f>FIND("l",F29,3)</f>
        <v>6</v>
      </c>
    </row>
    <row r="30" spans="4:11">
      <c r="F30" s="1" t="s">
        <v>1912</v>
      </c>
      <c r="I30" s="1" t="s">
        <v>1913</v>
      </c>
      <c r="K30" s="6">
        <f>FIND("a",F30)</f>
        <v>5</v>
      </c>
    </row>
    <row r="31" spans="4:11">
      <c r="F31" s="1" t="s">
        <v>1912</v>
      </c>
      <c r="I31" s="1" t="s">
        <v>1913</v>
      </c>
      <c r="K31" s="6">
        <f>FIND("a",F31,6)</f>
        <v>7</v>
      </c>
    </row>
    <row r="33" spans="4:11">
      <c r="D33" s="72">
        <v>5</v>
      </c>
      <c r="E33" s="223" t="s">
        <v>452</v>
      </c>
      <c r="F33" s="224" t="s">
        <v>160</v>
      </c>
      <c r="I33" s="1" t="s">
        <v>1914</v>
      </c>
      <c r="K33" s="6" t="str">
        <f>LEFT(F33,6)</f>
        <v>Mumbai</v>
      </c>
    </row>
    <row r="34" spans="4:11">
      <c r="F34" s="1" t="s">
        <v>173</v>
      </c>
      <c r="I34" s="1" t="s">
        <v>1915</v>
      </c>
      <c r="K34" s="6" t="str">
        <f>LEFT(F34,5)</f>
        <v>Royal</v>
      </c>
    </row>
    <row r="35" spans="4:11">
      <c r="F35" s="225" t="s">
        <v>1916</v>
      </c>
      <c r="I35" s="1" t="s">
        <v>1917</v>
      </c>
      <c r="K35" s="6" t="str">
        <f>LEFT(F35,6)</f>
        <v>Chenna</v>
      </c>
    </row>
    <row r="36" spans="4:11">
      <c r="F36" s="226" t="s">
        <v>1918</v>
      </c>
      <c r="I36" s="1" t="s">
        <v>1919</v>
      </c>
      <c r="K36" s="6" t="str">
        <f>LEFT(F36,9)</f>
        <v>Sunrisers</v>
      </c>
    </row>
    <row r="37" spans="4:11">
      <c r="F37" s="224" t="s">
        <v>1920</v>
      </c>
      <c r="I37" s="1" t="s">
        <v>1921</v>
      </c>
      <c r="K37" s="6" t="str">
        <f>LEFT(F37,5)</f>
        <v>Rajas</v>
      </c>
    </row>
    <row r="39" spans="4:11">
      <c r="D39" s="72">
        <v>6</v>
      </c>
      <c r="E39" s="223" t="s">
        <v>454</v>
      </c>
      <c r="F39" s="224" t="s">
        <v>160</v>
      </c>
      <c r="I39" s="1" t="s">
        <v>1922</v>
      </c>
      <c r="K39" s="6" t="str">
        <f t="shared" ref="K39:K43" si="3">RIGHT(F39,5)</f>
        <v>dians</v>
      </c>
    </row>
    <row r="40" spans="4:11">
      <c r="D40" s="227"/>
      <c r="F40" s="1" t="s">
        <v>173</v>
      </c>
      <c r="I40" s="1" t="s">
        <v>1923</v>
      </c>
      <c r="K40" s="6" t="str">
        <f t="shared" si="3"/>
        <v>aluru</v>
      </c>
    </row>
    <row r="41" spans="4:11">
      <c r="D41" s="227"/>
      <c r="F41" s="225" t="s">
        <v>1916</v>
      </c>
      <c r="I41" s="1" t="s">
        <v>1924</v>
      </c>
      <c r="K41" s="6" t="str">
        <f t="shared" si="3"/>
        <v>Kings</v>
      </c>
    </row>
    <row r="42" spans="4:11">
      <c r="D42" s="227"/>
      <c r="F42" s="226" t="s">
        <v>1918</v>
      </c>
      <c r="I42" s="1" t="s">
        <v>1925</v>
      </c>
      <c r="K42" s="6" t="str">
        <f t="shared" si="3"/>
        <v>rabad</v>
      </c>
    </row>
    <row r="43" spans="4:11">
      <c r="D43" s="227"/>
      <c r="F43" s="224" t="s">
        <v>1920</v>
      </c>
      <c r="I43" s="1" t="s">
        <v>1926</v>
      </c>
      <c r="K43" s="6" t="str">
        <f t="shared" si="3"/>
        <v>oyals</v>
      </c>
    </row>
    <row r="44" spans="4:11">
      <c r="D44" s="227"/>
    </row>
    <row r="45" spans="4:11">
      <c r="D45" s="72">
        <v>7</v>
      </c>
      <c r="E45" s="223" t="s">
        <v>1231</v>
      </c>
      <c r="F45" s="224" t="s">
        <v>160</v>
      </c>
      <c r="K45" s="6" t="str">
        <f t="shared" ref="K45:K49" si="4">PROPER(F45)</f>
        <v>Mumbai Indians</v>
      </c>
    </row>
    <row r="46" spans="4:11">
      <c r="D46" s="227"/>
      <c r="F46" s="1" t="s">
        <v>173</v>
      </c>
      <c r="K46" s="6" t="str">
        <f t="shared" si="4"/>
        <v>Royal Challengers Bengaluru</v>
      </c>
    </row>
    <row r="47" spans="4:11">
      <c r="D47" s="227"/>
      <c r="F47" s="225" t="s">
        <v>1916</v>
      </c>
      <c r="K47" s="6" t="str">
        <f t="shared" si="4"/>
        <v>Chennai Super Kings</v>
      </c>
    </row>
    <row r="48" spans="4:11">
      <c r="D48" s="227"/>
      <c r="F48" s="226" t="s">
        <v>1918</v>
      </c>
      <c r="K48" s="6" t="str">
        <f t="shared" si="4"/>
        <v>Sunrisers Hyderabad</v>
      </c>
    </row>
    <row r="49" spans="4:11">
      <c r="D49" s="227"/>
      <c r="F49" s="224" t="s">
        <v>1920</v>
      </c>
      <c r="K49" s="6" t="str">
        <f t="shared" si="4"/>
        <v>Rajasthan Royals</v>
      </c>
    </row>
    <row r="50" spans="4:11">
      <c r="D50" s="227"/>
    </row>
    <row r="51" spans="4:11">
      <c r="D51" s="72">
        <v>8</v>
      </c>
      <c r="E51" s="223" t="s">
        <v>1927</v>
      </c>
      <c r="F51" s="224" t="s">
        <v>160</v>
      </c>
      <c r="I51" s="1" t="s">
        <v>1928</v>
      </c>
      <c r="K51" s="6" t="str">
        <f t="shared" ref="K51:K55" si="5">LOWER(F51)</f>
        <v>mumbai indians</v>
      </c>
    </row>
    <row r="52" spans="4:11">
      <c r="D52" s="227"/>
      <c r="F52" s="1" t="s">
        <v>173</v>
      </c>
      <c r="K52" s="6" t="str">
        <f t="shared" si="5"/>
        <v>royal challengers bengaluru</v>
      </c>
    </row>
    <row r="53" spans="4:11">
      <c r="D53" s="227"/>
      <c r="F53" s="225" t="s">
        <v>1916</v>
      </c>
      <c r="K53" s="6" t="str">
        <f t="shared" si="5"/>
        <v>chennai super kings</v>
      </c>
    </row>
    <row r="54" spans="4:11">
      <c r="D54" s="227"/>
      <c r="F54" s="226" t="s">
        <v>1918</v>
      </c>
      <c r="K54" s="6" t="str">
        <f t="shared" si="5"/>
        <v>sunrisers hyderabad</v>
      </c>
    </row>
    <row r="55" spans="4:11">
      <c r="D55" s="227"/>
      <c r="F55" s="224" t="s">
        <v>1920</v>
      </c>
      <c r="K55" s="6" t="str">
        <f t="shared" si="5"/>
        <v>rajasthan royals</v>
      </c>
    </row>
    <row r="56" spans="4:11">
      <c r="D56" s="227"/>
    </row>
    <row r="57" spans="4:11">
      <c r="D57" s="72">
        <v>9</v>
      </c>
      <c r="E57" s="223" t="s">
        <v>1929</v>
      </c>
      <c r="F57" s="224" t="s">
        <v>160</v>
      </c>
      <c r="I57" s="1" t="s">
        <v>1930</v>
      </c>
      <c r="K57" s="6" t="str">
        <f t="shared" ref="K57:K61" si="6">UPPER(F57)</f>
        <v>MUMBAI INDIANS</v>
      </c>
    </row>
    <row r="58" spans="4:11">
      <c r="D58" s="227"/>
      <c r="F58" s="1" t="s">
        <v>173</v>
      </c>
      <c r="K58" s="6" t="str">
        <f t="shared" si="6"/>
        <v>ROYAL CHALLENGERS BENGALURU</v>
      </c>
    </row>
    <row r="59" spans="4:11">
      <c r="D59" s="227"/>
      <c r="F59" s="225" t="s">
        <v>1916</v>
      </c>
      <c r="K59" s="6" t="str">
        <f t="shared" si="6"/>
        <v>CHENNAI SUPER KINGS</v>
      </c>
    </row>
    <row r="60" spans="4:11">
      <c r="D60" s="227"/>
      <c r="F60" s="226" t="s">
        <v>1918</v>
      </c>
      <c r="K60" s="6" t="str">
        <f t="shared" si="6"/>
        <v>SUNRISERS HYDERABAD</v>
      </c>
    </row>
    <row r="61" spans="4:11">
      <c r="D61" s="227"/>
      <c r="F61" s="224" t="s">
        <v>1920</v>
      </c>
      <c r="K61" s="6" t="str">
        <f t="shared" si="6"/>
        <v>RAJASTHAN ROYALS</v>
      </c>
    </row>
    <row r="62" spans="4:11">
      <c r="D62" s="227"/>
    </row>
    <row r="63" spans="4:11">
      <c r="D63" s="72">
        <v>10</v>
      </c>
      <c r="E63" s="223" t="s">
        <v>1931</v>
      </c>
      <c r="F63" s="224" t="s">
        <v>160</v>
      </c>
      <c r="I63" s="1" t="s">
        <v>1932</v>
      </c>
      <c r="K63" s="6">
        <f t="shared" ref="K63:K67" si="7">LEN(F63)</f>
        <v>14</v>
      </c>
    </row>
    <row r="64" spans="4:11">
      <c r="D64" s="227"/>
      <c r="F64" s="1" t="s">
        <v>173</v>
      </c>
      <c r="K64" s="6">
        <f t="shared" si="7"/>
        <v>27</v>
      </c>
    </row>
    <row r="65" spans="4:11">
      <c r="D65" s="227"/>
      <c r="F65" s="225" t="s">
        <v>1916</v>
      </c>
      <c r="K65" s="6">
        <f t="shared" si="7"/>
        <v>19</v>
      </c>
    </row>
    <row r="66" spans="4:11">
      <c r="D66" s="227"/>
      <c r="F66" s="226" t="s">
        <v>1918</v>
      </c>
      <c r="K66" s="6">
        <f t="shared" si="7"/>
        <v>19</v>
      </c>
    </row>
    <row r="67" spans="4:11">
      <c r="D67" s="227"/>
      <c r="F67" s="224" t="s">
        <v>1920</v>
      </c>
      <c r="K67" s="6">
        <f t="shared" si="7"/>
        <v>16</v>
      </c>
    </row>
    <row r="68" spans="4:11">
      <c r="D68" s="227"/>
    </row>
    <row r="69" spans="4:11">
      <c r="D69" s="72">
        <v>11</v>
      </c>
      <c r="E69" s="223" t="s">
        <v>1933</v>
      </c>
      <c r="F69" s="224" t="s">
        <v>160</v>
      </c>
      <c r="I69" s="1" t="s">
        <v>1934</v>
      </c>
      <c r="K69" s="6" t="str">
        <f>MID(F69,8,3)</f>
        <v>Ind</v>
      </c>
    </row>
    <row r="70" spans="4:11">
      <c r="D70" s="227"/>
      <c r="F70" s="1" t="s">
        <v>173</v>
      </c>
      <c r="K70" s="6" t="str">
        <f>MID(F70,9,5)</f>
        <v>allen</v>
      </c>
    </row>
    <row r="71" spans="4:11">
      <c r="D71" s="227"/>
      <c r="F71" s="225" t="s">
        <v>1916</v>
      </c>
      <c r="K71" s="6" t="str">
        <f>MID(F71,5,8)</f>
        <v>nai Supe</v>
      </c>
    </row>
    <row r="72" spans="4:11">
      <c r="D72" s="227"/>
      <c r="F72" s="226" t="s">
        <v>1918</v>
      </c>
      <c r="K72" s="6" t="str">
        <f>MID(F72,5,5)</f>
        <v>isers</v>
      </c>
    </row>
    <row r="73" spans="4:11">
      <c r="D73" s="227"/>
      <c r="F73" s="224" t="s">
        <v>1920</v>
      </c>
      <c r="K73" s="6" t="str">
        <f>MID(F73,6,4)</f>
        <v>than</v>
      </c>
    </row>
    <row r="74" spans="4:11">
      <c r="D74" s="227"/>
    </row>
    <row r="75" spans="4:11">
      <c r="D75" s="72">
        <v>12</v>
      </c>
      <c r="E75" s="223" t="s">
        <v>1242</v>
      </c>
      <c r="F75" s="224" t="s">
        <v>160</v>
      </c>
      <c r="I75" s="1" t="s">
        <v>1935</v>
      </c>
      <c r="K75" s="6" t="str">
        <f>REPLACE(F75,8,7,"wankade")</f>
        <v>Mumbai wankade</v>
      </c>
    </row>
    <row r="76" spans="4:11">
      <c r="D76" s="227"/>
      <c r="F76" s="1" t="s">
        <v>173</v>
      </c>
      <c r="I76" s="1" t="s">
        <v>1936</v>
      </c>
      <c r="K76" s="6" t="str">
        <f>REPLACE(F76,7,11,"virat")</f>
        <v>Royal virat Bengaluru</v>
      </c>
    </row>
    <row r="77" spans="4:11">
      <c r="D77" s="227"/>
      <c r="F77" s="225" t="s">
        <v>1916</v>
      </c>
      <c r="I77" s="1" t="s">
        <v>1937</v>
      </c>
      <c r="K77" s="6" t="str">
        <f>REPLACE(F77,9,5,"MS")</f>
        <v>Chennai MS Kings</v>
      </c>
    </row>
    <row r="78" spans="4:11">
      <c r="D78" s="227"/>
      <c r="F78" s="226" t="s">
        <v>1918</v>
      </c>
      <c r="I78" s="1" t="s">
        <v>1938</v>
      </c>
      <c r="K78" s="6" t="str">
        <f>REPLACE(F78,11,9,"kings")</f>
        <v>Sunrisers kings</v>
      </c>
    </row>
    <row r="79" spans="4:11">
      <c r="F79" s="224" t="s">
        <v>1920</v>
      </c>
      <c r="I79" s="1" t="s">
        <v>1939</v>
      </c>
      <c r="K79" s="6" t="str">
        <f>REPLACE(F79,1,10,"jos")</f>
        <v>josRoyals</v>
      </c>
    </row>
  </sheetData>
  <mergeCells count="1">
    <mergeCell ref="F3:G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B3:J63"/>
  <sheetViews>
    <sheetView workbookViewId="0"/>
  </sheetViews>
  <sheetFormatPr defaultColWidth="12.6640625" defaultRowHeight="15.75" customHeight="1"/>
  <cols>
    <col min="5" max="5" width="12" customWidth="1"/>
    <col min="7" max="7" width="20.21875" customWidth="1"/>
    <col min="8" max="8" width="16.77734375" customWidth="1"/>
  </cols>
  <sheetData>
    <row r="3" spans="2:8">
      <c r="C3" s="228" t="s">
        <v>623</v>
      </c>
      <c r="D3" s="228" t="s">
        <v>1940</v>
      </c>
      <c r="E3" s="305" t="s">
        <v>581</v>
      </c>
      <c r="F3" s="286"/>
      <c r="G3" s="70" t="s">
        <v>149</v>
      </c>
      <c r="H3" s="51" t="s">
        <v>150</v>
      </c>
    </row>
    <row r="4" spans="2:8">
      <c r="B4" s="229"/>
      <c r="C4" s="230"/>
      <c r="D4" s="231"/>
      <c r="E4" s="232"/>
      <c r="F4" s="90"/>
      <c r="G4" s="90"/>
      <c r="H4" s="90"/>
    </row>
    <row r="5" spans="2:8">
      <c r="B5" s="233"/>
      <c r="C5" s="234" t="s">
        <v>17</v>
      </c>
      <c r="D5" s="235">
        <v>1</v>
      </c>
      <c r="E5" s="92" t="s">
        <v>1941</v>
      </c>
      <c r="F5" s="93" t="s">
        <v>1942</v>
      </c>
      <c r="G5" s="93" t="s">
        <v>894</v>
      </c>
      <c r="H5" s="95" t="e">
        <f t="shared" ref="H5:H9" ca="1" si="0">_xludf.CONCAT(E5,F5)</f>
        <v>#NAME?</v>
      </c>
    </row>
    <row r="6" spans="2:8">
      <c r="B6" s="236"/>
      <c r="C6" s="230"/>
      <c r="D6" s="235">
        <v>2</v>
      </c>
      <c r="E6" s="92" t="s">
        <v>1943</v>
      </c>
      <c r="F6" s="93" t="s">
        <v>1944</v>
      </c>
      <c r="G6" s="93" t="s">
        <v>897</v>
      </c>
      <c r="H6" s="95" t="e">
        <f t="shared" ca="1" si="0"/>
        <v>#NAME?</v>
      </c>
    </row>
    <row r="7" spans="2:8">
      <c r="B7" s="236"/>
      <c r="C7" s="230"/>
      <c r="D7" s="235">
        <v>3</v>
      </c>
      <c r="E7" s="92" t="s">
        <v>1945</v>
      </c>
      <c r="F7" s="93" t="s">
        <v>1946</v>
      </c>
      <c r="G7" s="93" t="s">
        <v>900</v>
      </c>
      <c r="H7" s="95" t="e">
        <f t="shared" ca="1" si="0"/>
        <v>#NAME?</v>
      </c>
    </row>
    <row r="8" spans="2:8">
      <c r="B8" s="236"/>
      <c r="C8" s="230"/>
      <c r="D8" s="235">
        <v>4</v>
      </c>
      <c r="E8" s="92" t="s">
        <v>1947</v>
      </c>
      <c r="F8" s="237">
        <v>-2010</v>
      </c>
      <c r="G8" s="93" t="s">
        <v>903</v>
      </c>
      <c r="H8" s="95" t="e">
        <f t="shared" ca="1" si="0"/>
        <v>#NAME?</v>
      </c>
    </row>
    <row r="9" spans="2:8">
      <c r="B9" s="236"/>
      <c r="C9" s="230"/>
      <c r="D9" s="235">
        <v>5</v>
      </c>
      <c r="E9" s="238">
        <v>32</v>
      </c>
      <c r="F9" s="93" t="s">
        <v>1948</v>
      </c>
      <c r="G9" s="93" t="s">
        <v>960</v>
      </c>
      <c r="H9" s="95" t="e">
        <f t="shared" ca="1" si="0"/>
        <v>#NAME?</v>
      </c>
    </row>
    <row r="10" spans="2:8">
      <c r="B10" s="236"/>
      <c r="C10" s="239"/>
      <c r="D10" s="240"/>
      <c r="E10" s="98"/>
      <c r="F10" s="100"/>
      <c r="G10" s="100"/>
      <c r="H10" s="100"/>
    </row>
    <row r="11" spans="2:8">
      <c r="B11" s="233"/>
      <c r="C11" s="241" t="s">
        <v>6</v>
      </c>
      <c r="D11" s="242">
        <v>1</v>
      </c>
      <c r="E11" s="92" t="str">
        <f>"High" &amp; CHAR(10) &amp; "Score"</f>
        <v>High
Score</v>
      </c>
      <c r="F11" s="95"/>
      <c r="G11" s="88" t="s">
        <v>1949</v>
      </c>
      <c r="H11" s="90" t="str">
        <f t="shared" ref="H11:H15" si="1">CLEAN(E11)</f>
        <v>HighScore</v>
      </c>
    </row>
    <row r="12" spans="2:8">
      <c r="B12" s="236"/>
      <c r="C12" s="230"/>
      <c r="D12" s="235">
        <v>2</v>
      </c>
      <c r="E12" s="103" t="str">
        <f>"User" &amp; CHAR(9) &amp; "Name"</f>
        <v>User	Name</v>
      </c>
      <c r="F12" s="95"/>
      <c r="G12" s="93" t="s">
        <v>907</v>
      </c>
      <c r="H12" s="95" t="str">
        <f t="shared" si="1"/>
        <v>UserName</v>
      </c>
    </row>
    <row r="13" spans="2:8">
      <c r="B13" s="236"/>
      <c r="C13" s="230"/>
      <c r="D13" s="235">
        <v>3</v>
      </c>
      <c r="E13" s="103" t="str">
        <f>"Error" &amp; CHAR(7)</f>
        <v>Error_x0007_</v>
      </c>
      <c r="F13" s="95"/>
      <c r="G13" s="93" t="s">
        <v>909</v>
      </c>
      <c r="H13" s="95" t="str">
        <f t="shared" si="1"/>
        <v>Error</v>
      </c>
    </row>
    <row r="14" spans="2:8">
      <c r="B14" s="236"/>
      <c r="C14" s="230"/>
      <c r="D14" s="235">
        <v>4</v>
      </c>
      <c r="E14" s="103" t="str">
        <f>"Code" &amp; CHAR(13) &amp; "99"</f>
        <v>Code_x000D_99</v>
      </c>
      <c r="F14" s="95"/>
      <c r="G14" s="93" t="s">
        <v>966</v>
      </c>
      <c r="H14" s="95" t="str">
        <f t="shared" si="1"/>
        <v>Code99</v>
      </c>
    </row>
    <row r="15" spans="2:8">
      <c r="B15" s="236"/>
      <c r="C15" s="230"/>
      <c r="D15" s="235">
        <v>5</v>
      </c>
      <c r="E15" s="103" t="str">
        <f>"Data" &amp; CHAR(31)</f>
        <v>Data_x001F_</v>
      </c>
      <c r="F15" s="95"/>
      <c r="G15" s="93" t="s">
        <v>912</v>
      </c>
      <c r="H15" s="95" t="str">
        <f t="shared" si="1"/>
        <v>Data</v>
      </c>
    </row>
    <row r="16" spans="2:8">
      <c r="B16" s="236"/>
      <c r="C16" s="239"/>
      <c r="D16" s="240"/>
      <c r="E16" s="98"/>
      <c r="F16" s="100"/>
      <c r="G16" s="100"/>
      <c r="H16" s="100"/>
    </row>
    <row r="17" spans="2:10">
      <c r="B17" s="233"/>
      <c r="C17" s="241" t="s">
        <v>44</v>
      </c>
      <c r="D17" s="242">
        <v>1</v>
      </c>
      <c r="E17" s="92" t="s">
        <v>1950</v>
      </c>
      <c r="F17" s="243" t="s">
        <v>1951</v>
      </c>
      <c r="G17" s="88" t="s">
        <v>1952</v>
      </c>
      <c r="H17" s="244" t="b">
        <f t="shared" ref="H17:H21" si="2">EXACT(E17,F17)</f>
        <v>0</v>
      </c>
      <c r="I17" s="245"/>
      <c r="J17" s="245"/>
    </row>
    <row r="18" spans="2:10">
      <c r="B18" s="236"/>
      <c r="C18" s="230"/>
      <c r="D18" s="235">
        <v>2</v>
      </c>
      <c r="E18" s="92" t="s">
        <v>1953</v>
      </c>
      <c r="F18" s="243" t="s">
        <v>1953</v>
      </c>
      <c r="G18" s="93" t="s">
        <v>1954</v>
      </c>
      <c r="H18" s="246" t="b">
        <f t="shared" si="2"/>
        <v>1</v>
      </c>
      <c r="I18" s="247"/>
      <c r="J18" s="245"/>
    </row>
    <row r="19" spans="2:10">
      <c r="B19" s="236"/>
      <c r="C19" s="230"/>
      <c r="D19" s="235">
        <v>3</v>
      </c>
      <c r="E19" s="92" t="s">
        <v>549</v>
      </c>
      <c r="F19" s="243" t="s">
        <v>577</v>
      </c>
      <c r="G19" s="93" t="s">
        <v>1955</v>
      </c>
      <c r="H19" s="246" t="b">
        <f t="shared" si="2"/>
        <v>0</v>
      </c>
      <c r="I19" s="247"/>
      <c r="J19" s="245"/>
    </row>
    <row r="20" spans="2:10">
      <c r="B20" s="236"/>
      <c r="C20" s="230"/>
      <c r="D20" s="235">
        <v>4</v>
      </c>
      <c r="E20" s="238">
        <v>500</v>
      </c>
      <c r="F20" s="248">
        <v>500</v>
      </c>
      <c r="G20" s="93" t="s">
        <v>1956</v>
      </c>
      <c r="H20" s="246" t="b">
        <f t="shared" si="2"/>
        <v>1</v>
      </c>
      <c r="I20" s="247"/>
      <c r="J20" s="245"/>
    </row>
    <row r="21" spans="2:10">
      <c r="B21" s="236"/>
      <c r="C21" s="230"/>
      <c r="D21" s="235">
        <v>5</v>
      </c>
      <c r="E21" s="92" t="s">
        <v>1957</v>
      </c>
      <c r="F21" s="243" t="s">
        <v>1957</v>
      </c>
      <c r="G21" s="93" t="s">
        <v>1958</v>
      </c>
      <c r="H21" s="246" t="b">
        <f t="shared" si="2"/>
        <v>1</v>
      </c>
      <c r="I21" s="247"/>
      <c r="J21" s="245"/>
    </row>
    <row r="22" spans="2:10">
      <c r="B22" s="236"/>
      <c r="C22" s="230"/>
      <c r="D22" s="77"/>
      <c r="E22" s="98"/>
      <c r="F22" s="100"/>
      <c r="G22" s="95"/>
      <c r="H22" s="95"/>
      <c r="I22" s="247"/>
      <c r="J22" s="245"/>
    </row>
    <row r="23" spans="2:10">
      <c r="B23" s="233"/>
      <c r="C23" s="241" t="s">
        <v>33</v>
      </c>
      <c r="D23" s="249">
        <v>1</v>
      </c>
      <c r="E23" s="250" t="s">
        <v>974</v>
      </c>
      <c r="F23" s="95"/>
      <c r="G23" s="88" t="s">
        <v>1959</v>
      </c>
      <c r="H23" s="244">
        <f>FIND("r",E23)</f>
        <v>3</v>
      </c>
    </row>
    <row r="24" spans="2:10">
      <c r="B24" s="236"/>
      <c r="C24" s="230"/>
      <c r="D24" s="251">
        <v>2</v>
      </c>
      <c r="E24" s="250" t="s">
        <v>1960</v>
      </c>
      <c r="F24" s="95"/>
      <c r="G24" s="93" t="s">
        <v>1961</v>
      </c>
      <c r="H24" s="246">
        <f>FIND("fight",E24)</f>
        <v>5</v>
      </c>
    </row>
    <row r="25" spans="2:10">
      <c r="B25" s="236"/>
      <c r="C25" s="230"/>
      <c r="D25" s="251">
        <v>3</v>
      </c>
      <c r="E25" s="250" t="s">
        <v>1962</v>
      </c>
      <c r="F25" s="95"/>
      <c r="G25" s="93" t="s">
        <v>1963</v>
      </c>
      <c r="H25" s="246">
        <f>FIND("P",E25)</f>
        <v>9</v>
      </c>
    </row>
    <row r="26" spans="2:10">
      <c r="B26" s="236"/>
      <c r="C26" s="230"/>
      <c r="D26" s="251">
        <v>4</v>
      </c>
      <c r="E26" s="250" t="s">
        <v>1964</v>
      </c>
      <c r="F26" s="95"/>
      <c r="G26" s="93" t="s">
        <v>1965</v>
      </c>
      <c r="H26" s="246">
        <f>FIND("e",E26)</f>
        <v>5</v>
      </c>
    </row>
    <row r="27" spans="2:10">
      <c r="B27" s="236"/>
      <c r="C27" s="230"/>
      <c r="D27" s="251">
        <v>5</v>
      </c>
      <c r="E27" s="250" t="s">
        <v>1966</v>
      </c>
      <c r="F27" s="95"/>
      <c r="G27" s="93" t="s">
        <v>1967</v>
      </c>
      <c r="H27" s="246">
        <f>FIND("-",E27)</f>
        <v>5</v>
      </c>
    </row>
    <row r="28" spans="2:10">
      <c r="B28" s="236"/>
      <c r="C28" s="239"/>
      <c r="D28" s="240"/>
      <c r="E28" s="98"/>
      <c r="F28" s="100"/>
      <c r="G28" s="100"/>
      <c r="H28" s="100"/>
    </row>
    <row r="29" spans="2:10">
      <c r="B29" s="233"/>
      <c r="C29" s="234" t="s">
        <v>57</v>
      </c>
      <c r="D29" s="251">
        <v>1</v>
      </c>
      <c r="E29" s="250" t="s">
        <v>1968</v>
      </c>
      <c r="F29" s="95"/>
      <c r="G29" s="93" t="s">
        <v>1969</v>
      </c>
      <c r="H29" s="95" t="str">
        <f>LEFT(E29,6)</f>
        <v>Basket</v>
      </c>
    </row>
    <row r="30" spans="2:10">
      <c r="B30" s="236"/>
      <c r="C30" s="230"/>
      <c r="D30" s="251">
        <v>2</v>
      </c>
      <c r="E30" s="250" t="s">
        <v>1970</v>
      </c>
      <c r="F30" s="95"/>
      <c r="G30" s="93" t="s">
        <v>1971</v>
      </c>
      <c r="H30" s="95" t="str">
        <f>LEFT(E30,3)</f>
        <v>Sun</v>
      </c>
    </row>
    <row r="31" spans="2:10">
      <c r="B31" s="236"/>
      <c r="C31" s="230"/>
      <c r="D31" s="251">
        <v>3</v>
      </c>
      <c r="E31" s="250" t="s">
        <v>1972</v>
      </c>
      <c r="F31" s="95"/>
      <c r="G31" s="93" t="s">
        <v>1973</v>
      </c>
      <c r="H31" s="95" t="str">
        <f>LEFT(E31,4)</f>
        <v>2026</v>
      </c>
    </row>
    <row r="32" spans="2:10">
      <c r="B32" s="236"/>
      <c r="C32" s="230"/>
      <c r="D32" s="251">
        <v>4</v>
      </c>
      <c r="E32" s="250" t="s">
        <v>1602</v>
      </c>
      <c r="F32" s="95"/>
      <c r="G32" s="93" t="s">
        <v>1974</v>
      </c>
      <c r="H32" s="95" t="str">
        <f>LEFT(E32,6)</f>
        <v xml:space="preserve">Hello </v>
      </c>
    </row>
    <row r="33" spans="2:9">
      <c r="B33" s="236"/>
      <c r="C33" s="230"/>
      <c r="D33" s="251">
        <v>5</v>
      </c>
      <c r="E33" s="252">
        <v>150</v>
      </c>
      <c r="F33" s="95"/>
      <c r="G33" s="93" t="s">
        <v>1975</v>
      </c>
      <c r="H33" s="95" t="str">
        <f>LEFT(E33,1)</f>
        <v>1</v>
      </c>
    </row>
    <row r="34" spans="2:9">
      <c r="B34" s="236"/>
      <c r="C34" s="239"/>
      <c r="D34" s="240"/>
      <c r="E34" s="98"/>
      <c r="F34" s="100"/>
      <c r="G34" s="100"/>
      <c r="H34" s="100" t="str">
        <f>LEFT(E34,6)</f>
        <v/>
      </c>
    </row>
    <row r="35" spans="2:9">
      <c r="B35" s="233"/>
      <c r="C35" s="241" t="s">
        <v>123</v>
      </c>
      <c r="D35" s="249">
        <v>1</v>
      </c>
      <c r="E35" s="250" t="s">
        <v>974</v>
      </c>
      <c r="F35" s="95"/>
      <c r="G35" s="88" t="s">
        <v>1976</v>
      </c>
      <c r="H35" s="90" t="str">
        <f>RIGHT(E35,5)</f>
        <v>berry</v>
      </c>
    </row>
    <row r="36" spans="2:9">
      <c r="B36" s="236"/>
      <c r="C36" s="230"/>
      <c r="D36" s="251">
        <v>2</v>
      </c>
      <c r="E36" s="250" t="s">
        <v>1960</v>
      </c>
      <c r="F36" s="95"/>
      <c r="G36" s="93" t="s">
        <v>1977</v>
      </c>
      <c r="H36" s="95" t="str">
        <f>RIGHT(E36,7)</f>
        <v>fighter</v>
      </c>
    </row>
    <row r="37" spans="2:9">
      <c r="B37" s="236"/>
      <c r="C37" s="230"/>
      <c r="D37" s="251">
        <v>3</v>
      </c>
      <c r="E37" s="250" t="s">
        <v>1978</v>
      </c>
      <c r="F37" s="95"/>
      <c r="G37" s="93" t="s">
        <v>1979</v>
      </c>
      <c r="H37" s="95" t="str">
        <f>RIGHT(E37,4)</f>
        <v>2026</v>
      </c>
    </row>
    <row r="38" spans="2:9">
      <c r="B38" s="236"/>
      <c r="C38" s="230"/>
      <c r="D38" s="251">
        <v>4</v>
      </c>
      <c r="E38" s="250" t="s">
        <v>1980</v>
      </c>
      <c r="F38" s="95"/>
      <c r="G38" s="93" t="s">
        <v>1981</v>
      </c>
      <c r="H38" s="93" t="str">
        <f>RIGHT(E38,3)</f>
        <v>Cup</v>
      </c>
    </row>
    <row r="39" spans="2:9">
      <c r="B39" s="236"/>
      <c r="C39" s="230"/>
      <c r="D39" s="251">
        <v>5</v>
      </c>
      <c r="E39" s="250" t="s">
        <v>1982</v>
      </c>
      <c r="F39" s="95"/>
      <c r="G39" s="93" t="s">
        <v>1983</v>
      </c>
      <c r="H39" s="95" t="str">
        <f>RIGHT(E39,2)</f>
        <v>99</v>
      </c>
    </row>
    <row r="40" spans="2:9">
      <c r="B40" s="236"/>
      <c r="C40" s="239"/>
      <c r="D40" s="240"/>
      <c r="E40" s="253"/>
      <c r="F40" s="100"/>
      <c r="G40" s="100"/>
      <c r="H40" s="100"/>
    </row>
    <row r="41" spans="2:9">
      <c r="B41" s="233"/>
      <c r="C41" s="241" t="s">
        <v>90</v>
      </c>
      <c r="D41" s="249">
        <v>1</v>
      </c>
      <c r="E41" s="250" t="s">
        <v>974</v>
      </c>
      <c r="F41" s="254"/>
      <c r="G41" s="88" t="s">
        <v>1984</v>
      </c>
      <c r="H41" s="90" t="str">
        <f>MID(E41,3,3)</f>
        <v>raw</v>
      </c>
    </row>
    <row r="42" spans="2:9">
      <c r="B42" s="236"/>
      <c r="C42" s="230"/>
      <c r="D42" s="251">
        <v>2</v>
      </c>
      <c r="E42" s="250" t="s">
        <v>1943</v>
      </c>
      <c r="F42" s="254"/>
      <c r="G42" s="93" t="s">
        <v>1985</v>
      </c>
      <c r="H42" s="95" t="str">
        <f>MID(E42,1,5)</f>
        <v>Elect</v>
      </c>
    </row>
    <row r="43" spans="2:9">
      <c r="B43" s="236"/>
      <c r="C43" s="230"/>
      <c r="D43" s="251">
        <v>3</v>
      </c>
      <c r="E43" s="250" t="s">
        <v>1986</v>
      </c>
      <c r="F43" s="254"/>
      <c r="G43" s="93" t="s">
        <v>1987</v>
      </c>
      <c r="H43" s="95" t="str">
        <f>MID(E43,4,2)</f>
        <v>99</v>
      </c>
    </row>
    <row r="44" spans="2:9">
      <c r="B44" s="236"/>
      <c r="C44" s="230"/>
      <c r="D44" s="251">
        <v>4</v>
      </c>
      <c r="E44" s="250" t="s">
        <v>1988</v>
      </c>
      <c r="F44" s="254"/>
      <c r="G44" s="93" t="s">
        <v>1989</v>
      </c>
      <c r="H44" s="95" t="str">
        <f>MID(E44,4,4)</f>
        <v>zing</v>
      </c>
    </row>
    <row r="45" spans="2:9">
      <c r="B45" s="236"/>
      <c r="C45" s="230"/>
      <c r="D45" s="251">
        <v>5</v>
      </c>
      <c r="E45" s="255">
        <v>9876543210</v>
      </c>
      <c r="F45" s="254"/>
      <c r="G45" s="93" t="s">
        <v>1990</v>
      </c>
      <c r="H45" s="95" t="str">
        <f>MID(E45,3,3)</f>
        <v>765</v>
      </c>
    </row>
    <row r="46" spans="2:9">
      <c r="B46" s="236"/>
      <c r="C46" s="239"/>
      <c r="D46" s="240"/>
      <c r="E46" s="253"/>
      <c r="F46" s="256"/>
      <c r="G46" s="100"/>
      <c r="H46" s="100"/>
    </row>
    <row r="47" spans="2:9">
      <c r="B47" s="233"/>
      <c r="C47" s="241" t="s">
        <v>68</v>
      </c>
      <c r="D47" s="249">
        <v>1</v>
      </c>
      <c r="E47" s="250" t="s">
        <v>1991</v>
      </c>
      <c r="F47" s="243"/>
      <c r="G47" s="257" t="s">
        <v>74</v>
      </c>
      <c r="H47" s="258">
        <f t="shared" ref="H47:H51" si="3">LEN(E47)</f>
        <v>3</v>
      </c>
      <c r="I47" s="245"/>
    </row>
    <row r="48" spans="2:9">
      <c r="B48" s="236"/>
      <c r="C48" s="230"/>
      <c r="D48" s="251">
        <v>2</v>
      </c>
      <c r="E48" s="250" t="s">
        <v>1992</v>
      </c>
      <c r="F48" s="243"/>
      <c r="G48" s="243" t="s">
        <v>76</v>
      </c>
      <c r="H48" s="248">
        <f t="shared" si="3"/>
        <v>9</v>
      </c>
      <c r="I48" s="247"/>
    </row>
    <row r="49" spans="2:10">
      <c r="B49" s="236"/>
      <c r="C49" s="230"/>
      <c r="D49" s="251">
        <v>3</v>
      </c>
      <c r="E49" s="250" t="s">
        <v>1993</v>
      </c>
      <c r="F49" s="243"/>
      <c r="G49" s="243" t="s">
        <v>78</v>
      </c>
      <c r="H49" s="248">
        <f t="shared" si="3"/>
        <v>11</v>
      </c>
      <c r="I49" s="247"/>
    </row>
    <row r="50" spans="2:10">
      <c r="B50" s="236"/>
      <c r="C50" s="230"/>
      <c r="D50" s="251">
        <v>4</v>
      </c>
      <c r="E50" s="250" t="s">
        <v>1994</v>
      </c>
      <c r="F50" s="243"/>
      <c r="G50" s="243" t="s">
        <v>1995</v>
      </c>
      <c r="H50" s="248">
        <f t="shared" si="3"/>
        <v>6</v>
      </c>
      <c r="I50" s="247"/>
    </row>
    <row r="51" spans="2:10">
      <c r="B51" s="236"/>
      <c r="C51" s="230"/>
      <c r="D51" s="251">
        <v>5</v>
      </c>
      <c r="E51" s="250" t="s">
        <v>1996</v>
      </c>
      <c r="F51" s="243"/>
      <c r="G51" s="243" t="s">
        <v>490</v>
      </c>
      <c r="H51" s="248">
        <f t="shared" si="3"/>
        <v>7</v>
      </c>
      <c r="I51" s="247"/>
    </row>
    <row r="52" spans="2:10">
      <c r="B52" s="236"/>
      <c r="C52" s="239"/>
      <c r="D52" s="259"/>
      <c r="E52" s="253"/>
      <c r="F52" s="260"/>
      <c r="G52" s="260"/>
      <c r="H52" s="256"/>
      <c r="I52" s="247"/>
    </row>
    <row r="53" spans="2:10">
      <c r="B53" s="233"/>
      <c r="C53" s="241" t="s">
        <v>112</v>
      </c>
      <c r="D53" s="249">
        <v>1</v>
      </c>
      <c r="E53" s="250" t="s">
        <v>1968</v>
      </c>
      <c r="F53" s="254"/>
      <c r="G53" s="257" t="s">
        <v>1997</v>
      </c>
      <c r="H53" s="90" t="str">
        <f>REPLACE(E53,1,6,"Soft")</f>
        <v>Softball</v>
      </c>
    </row>
    <row r="54" spans="2:10">
      <c r="B54" s="236"/>
      <c r="C54" s="230"/>
      <c r="D54" s="251">
        <v>2</v>
      </c>
      <c r="E54" s="250" t="s">
        <v>1998</v>
      </c>
      <c r="F54" s="254"/>
      <c r="G54" s="243" t="s">
        <v>1999</v>
      </c>
      <c r="H54" s="95" t="str">
        <f>REPLACE(E54,7,4,"2026")</f>
        <v>Pizza-2026</v>
      </c>
    </row>
    <row r="55" spans="2:10">
      <c r="B55" s="236"/>
      <c r="C55" s="230"/>
      <c r="D55" s="251">
        <v>3</v>
      </c>
      <c r="E55" s="250" t="s">
        <v>2000</v>
      </c>
      <c r="F55" s="254"/>
      <c r="G55" s="243" t="s">
        <v>2001</v>
      </c>
      <c r="H55" s="95" t="str">
        <f>REPLACE(E55,7,1,"V")</f>
        <v>Model-V</v>
      </c>
    </row>
    <row r="56" spans="2:10">
      <c r="B56" s="236"/>
      <c r="C56" s="230"/>
      <c r="D56" s="251">
        <v>4</v>
      </c>
      <c r="E56" s="250" t="s">
        <v>2002</v>
      </c>
      <c r="F56" s="254"/>
      <c r="G56" s="243" t="s">
        <v>2003</v>
      </c>
      <c r="H56" s="95" t="str">
        <f>REPLACE(E56,1,3,"Rainy")</f>
        <v>Rainy Day</v>
      </c>
    </row>
    <row r="57" spans="2:10">
      <c r="B57" s="236"/>
      <c r="C57" s="230"/>
      <c r="D57" s="251">
        <v>5</v>
      </c>
      <c r="E57" s="250" t="s">
        <v>2004</v>
      </c>
      <c r="F57" s="254"/>
      <c r="G57" s="243" t="s">
        <v>2005</v>
      </c>
      <c r="H57" s="95" t="str">
        <f>REPLACE(E57,4,3,"029")</f>
        <v>ID-029</v>
      </c>
    </row>
    <row r="58" spans="2:10">
      <c r="B58" s="236"/>
      <c r="C58" s="239"/>
      <c r="D58" s="261"/>
      <c r="E58" s="253"/>
      <c r="F58" s="256"/>
      <c r="G58" s="260"/>
      <c r="H58" s="260"/>
      <c r="I58" s="245"/>
      <c r="J58" s="245"/>
    </row>
    <row r="59" spans="2:10">
      <c r="F59" s="245"/>
      <c r="G59" s="245"/>
      <c r="H59" s="245"/>
      <c r="I59" s="262"/>
      <c r="J59" s="247"/>
    </row>
    <row r="60" spans="2:10">
      <c r="F60" s="245"/>
      <c r="G60" s="245"/>
      <c r="H60" s="245"/>
      <c r="I60" s="262"/>
      <c r="J60" s="247"/>
    </row>
    <row r="61" spans="2:10">
      <c r="F61" s="245"/>
      <c r="G61" s="245"/>
      <c r="H61" s="245"/>
      <c r="I61" s="262"/>
      <c r="J61" s="247"/>
    </row>
    <row r="62" spans="2:10">
      <c r="F62" s="245"/>
      <c r="G62" s="245"/>
      <c r="H62" s="245"/>
      <c r="I62" s="262"/>
      <c r="J62" s="247"/>
    </row>
    <row r="63" spans="2:10">
      <c r="F63" s="245"/>
      <c r="G63" s="245"/>
      <c r="H63" s="245"/>
      <c r="I63" s="262"/>
      <c r="J63" s="247"/>
    </row>
  </sheetData>
  <mergeCells count="1">
    <mergeCell ref="E3:F3"/>
  </mergeCells>
  <conditionalFormatting sqref="C3:E3 G3:H3">
    <cfRule type="notContainsBlanks" dxfId="0" priority="1">
      <formula>LEN(TRIM(C3))&gt;0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L109"/>
  <sheetViews>
    <sheetView workbookViewId="0"/>
  </sheetViews>
  <sheetFormatPr defaultColWidth="12.6640625" defaultRowHeight="15.75" customHeight="1"/>
  <cols>
    <col min="1" max="1" width="17.109375" customWidth="1"/>
    <col min="2" max="2" width="8.88671875" customWidth="1"/>
    <col min="10" max="10" width="18.44140625" customWidth="1"/>
  </cols>
  <sheetData>
    <row r="1" spans="1:12">
      <c r="A1" s="1" t="s">
        <v>2006</v>
      </c>
    </row>
    <row r="7" spans="1:12">
      <c r="D7" s="136" t="s">
        <v>2007</v>
      </c>
      <c r="F7" s="1" t="s">
        <v>2</v>
      </c>
      <c r="H7" s="1" t="s">
        <v>2008</v>
      </c>
      <c r="J7" s="1" t="s">
        <v>4</v>
      </c>
      <c r="L7" s="1" t="s">
        <v>5</v>
      </c>
    </row>
    <row r="9" spans="1:12">
      <c r="D9" s="1">
        <v>1.1000000000000001</v>
      </c>
      <c r="F9" s="1" t="s">
        <v>760</v>
      </c>
      <c r="H9" s="1" t="s">
        <v>2009</v>
      </c>
    </row>
    <row r="10" spans="1:12">
      <c r="D10" s="1">
        <v>1.2</v>
      </c>
      <c r="H10" s="1" t="s">
        <v>2010</v>
      </c>
    </row>
    <row r="11" spans="1:12">
      <c r="D11" s="1">
        <v>1.3</v>
      </c>
      <c r="H11" s="1" t="s">
        <v>782</v>
      </c>
    </row>
    <row r="12" spans="1:12">
      <c r="D12" s="1">
        <v>1.4</v>
      </c>
      <c r="H12" s="1" t="s">
        <v>547</v>
      </c>
    </row>
    <row r="13" spans="1:12">
      <c r="D13" s="1">
        <v>1.5</v>
      </c>
      <c r="H13" s="6" t="str">
        <f>CHAR(39)</f>
        <v>'</v>
      </c>
    </row>
    <row r="15" spans="1:12">
      <c r="D15" s="1">
        <v>2.1</v>
      </c>
      <c r="F15" s="1" t="s">
        <v>951</v>
      </c>
      <c r="J15" s="1" t="s">
        <v>2011</v>
      </c>
      <c r="L15" s="6" t="e">
        <f ca="1">_xludf.CONCAT(H15,H19)</f>
        <v>#NAME?</v>
      </c>
    </row>
    <row r="16" spans="1:12">
      <c r="D16" s="1">
        <v>2.2000000000000002</v>
      </c>
      <c r="H16" s="1" t="s">
        <v>782</v>
      </c>
      <c r="J16" s="1" t="s">
        <v>2012</v>
      </c>
      <c r="L16" s="6" t="str">
        <f ca="1">IFERROR(__xludf.DUMMYFUNCTION("JOIN(""-"",H16,H17,H18)"),"ARC-Nagpur-DA30")</f>
        <v>ARC-Nagpur-DA30</v>
      </c>
    </row>
    <row r="17" spans="4:12">
      <c r="D17" s="1">
        <v>2.2999999999999998</v>
      </c>
      <c r="H17" s="1" t="s">
        <v>547</v>
      </c>
      <c r="J17" s="1" t="s">
        <v>2013</v>
      </c>
      <c r="L17" s="6" t="str">
        <f ca="1">IFERROR(__xludf.DUMMYFUNCTION("JOIN(""_"",H15,H19,H18)"),"_XYZ_DA30")</f>
        <v>_XYZ_DA30</v>
      </c>
    </row>
    <row r="18" spans="4:12">
      <c r="D18" s="1">
        <v>2.4</v>
      </c>
      <c r="H18" s="1" t="s">
        <v>2014</v>
      </c>
      <c r="J18" s="1" t="s">
        <v>2015</v>
      </c>
      <c r="L18" s="6" t="str">
        <f ca="1">IFERROR(__xludf.DUMMYFUNCTION("JOIN("""",H15,H19,H17)"),"XYZNagpur")</f>
        <v>XYZNagpur</v>
      </c>
    </row>
    <row r="19" spans="4:12">
      <c r="D19" s="1">
        <v>2.5</v>
      </c>
      <c r="H19" s="1" t="s">
        <v>2016</v>
      </c>
      <c r="J19" s="1" t="s">
        <v>2017</v>
      </c>
      <c r="L19" s="6" t="str">
        <f ca="1">IFERROR(__xludf.DUMMYFUNCTION("JOIN("" "",H15,H16,H18)")," ARC DA30")</f>
        <v xml:space="preserve"> ARC DA30</v>
      </c>
    </row>
    <row r="21" spans="4:12" ht="15.75" customHeight="1">
      <c r="D21" s="1">
        <v>3.1</v>
      </c>
      <c r="F21" s="263" t="s">
        <v>1722</v>
      </c>
      <c r="J21" s="1" t="s">
        <v>2018</v>
      </c>
      <c r="L21" s="6" t="e">
        <f ca="1">_xludf.TEXTJOIN("-",,H21,H25,H24)</f>
        <v>#NAME?</v>
      </c>
    </row>
    <row r="22" spans="4:12">
      <c r="D22" s="1">
        <v>3.2</v>
      </c>
      <c r="H22" s="1" t="s">
        <v>782</v>
      </c>
      <c r="J22" s="1" t="s">
        <v>2019</v>
      </c>
      <c r="L22" s="6" t="e">
        <f ca="1">_xludf.TEXTJOIN("_",0,H22,H23,H24)</f>
        <v>#NAME?</v>
      </c>
    </row>
    <row r="23" spans="4:12">
      <c r="D23" s="1">
        <v>3.3</v>
      </c>
      <c r="H23" s="1" t="s">
        <v>547</v>
      </c>
      <c r="J23" s="1" t="s">
        <v>2020</v>
      </c>
      <c r="L23" s="6" t="e">
        <f ca="1">_xludf.TEXTJOIN(" ",1,H22,H21,H23)</f>
        <v>#NAME?</v>
      </c>
    </row>
    <row r="24" spans="4:12" ht="13.2">
      <c r="D24" s="1">
        <v>3.4</v>
      </c>
      <c r="H24" s="1" t="s">
        <v>2014</v>
      </c>
      <c r="J24" s="1" t="s">
        <v>2021</v>
      </c>
      <c r="L24" s="6" t="e">
        <f ca="1">_xludf.TEXTJOIN("-",0,H22,H23,H21,H24)</f>
        <v>#NAME?</v>
      </c>
    </row>
    <row r="25" spans="4:12" ht="13.2">
      <c r="D25" s="1">
        <v>3.5</v>
      </c>
      <c r="H25" s="1" t="s">
        <v>2016</v>
      </c>
      <c r="J25" s="1" t="s">
        <v>2022</v>
      </c>
      <c r="L25" s="6" t="e">
        <f ca="1">_xludf.TEXTJOIN("_",0,H22,H23,H21,H24)</f>
        <v>#NAME?</v>
      </c>
    </row>
    <row r="27" spans="4:12" ht="14.4">
      <c r="D27" s="1">
        <v>4.0999999999999996</v>
      </c>
      <c r="F27" s="23" t="s">
        <v>6</v>
      </c>
      <c r="H27" s="1" t="s">
        <v>2023</v>
      </c>
    </row>
    <row r="28" spans="4:12" ht="13.2">
      <c r="D28" s="1">
        <v>4.2</v>
      </c>
    </row>
    <row r="29" spans="4:12" ht="13.2">
      <c r="D29" s="1">
        <v>4.3</v>
      </c>
    </row>
    <row r="30" spans="4:12" ht="13.2">
      <c r="D30" s="1">
        <v>4.4000000000000004</v>
      </c>
    </row>
    <row r="31" spans="4:12" ht="13.2">
      <c r="D31" s="1">
        <v>4.5</v>
      </c>
    </row>
    <row r="33" spans="4:6" ht="14.4">
      <c r="D33" s="1">
        <v>5.0999999999999996</v>
      </c>
      <c r="F33" s="23" t="s">
        <v>1392</v>
      </c>
    </row>
    <row r="34" spans="4:6" ht="13.2">
      <c r="D34" s="1">
        <v>5.2</v>
      </c>
    </row>
    <row r="35" spans="4:6" ht="13.2">
      <c r="D35" s="1">
        <v>5.3</v>
      </c>
    </row>
    <row r="36" spans="4:6" ht="13.2">
      <c r="D36" s="1">
        <v>5.4</v>
      </c>
    </row>
    <row r="37" spans="4:6" ht="13.2">
      <c r="D37" s="1">
        <v>5.5</v>
      </c>
    </row>
    <row r="39" spans="4:6" ht="14.4">
      <c r="D39" s="1">
        <v>6.1</v>
      </c>
      <c r="F39" s="23" t="s">
        <v>33</v>
      </c>
    </row>
    <row r="40" spans="4:6" ht="13.2">
      <c r="D40" s="1">
        <v>6.2</v>
      </c>
    </row>
    <row r="41" spans="4:6" ht="13.2">
      <c r="D41" s="1">
        <v>6.3</v>
      </c>
    </row>
    <row r="42" spans="4:6" ht="13.2">
      <c r="D42" s="1">
        <v>6.4</v>
      </c>
    </row>
    <row r="43" spans="4:6" ht="13.2">
      <c r="D43" s="1">
        <v>6.5</v>
      </c>
    </row>
    <row r="45" spans="4:6" ht="14.4">
      <c r="D45" s="1">
        <v>7.1</v>
      </c>
      <c r="F45" s="23" t="s">
        <v>1642</v>
      </c>
    </row>
    <row r="46" spans="4:6" ht="13.2">
      <c r="D46" s="1">
        <v>7.2</v>
      </c>
    </row>
    <row r="47" spans="4:6" ht="13.2">
      <c r="D47" s="1">
        <v>7.3</v>
      </c>
    </row>
    <row r="48" spans="4:6" ht="13.2">
      <c r="D48" s="1">
        <v>7.4</v>
      </c>
    </row>
    <row r="49" spans="4:6" ht="13.2">
      <c r="D49" s="1">
        <v>7.5</v>
      </c>
    </row>
    <row r="51" spans="4:6" ht="14.4">
      <c r="D51" s="1">
        <v>8.1</v>
      </c>
      <c r="F51" s="23" t="s">
        <v>112</v>
      </c>
    </row>
    <row r="52" spans="4:6" ht="13.2">
      <c r="D52" s="1">
        <v>8.1999999999999993</v>
      </c>
    </row>
    <row r="53" spans="4:6" ht="13.2">
      <c r="D53" s="1">
        <v>8.3000000000000007</v>
      </c>
    </row>
    <row r="54" spans="4:6" ht="13.2">
      <c r="D54" s="1">
        <v>8.4</v>
      </c>
    </row>
    <row r="55" spans="4:6" ht="13.2">
      <c r="D55" s="1">
        <v>8.5</v>
      </c>
    </row>
    <row r="57" spans="4:6" ht="14.4">
      <c r="D57" s="1">
        <v>9.1</v>
      </c>
      <c r="F57" s="23" t="s">
        <v>1651</v>
      </c>
    </row>
    <row r="58" spans="4:6" ht="13.2">
      <c r="D58" s="1">
        <v>9.1999999999999993</v>
      </c>
    </row>
    <row r="59" spans="4:6" ht="13.2">
      <c r="D59" s="1">
        <v>9.3000000000000007</v>
      </c>
    </row>
    <row r="60" spans="4:6" ht="13.2">
      <c r="D60" s="1">
        <v>9.4</v>
      </c>
    </row>
    <row r="61" spans="4:6" ht="13.2">
      <c r="D61" s="1">
        <v>9.5</v>
      </c>
    </row>
    <row r="63" spans="4:6" ht="14.4">
      <c r="D63" s="1">
        <v>10.1</v>
      </c>
      <c r="F63" s="23" t="s">
        <v>44</v>
      </c>
    </row>
    <row r="64" spans="4:6" ht="13.2">
      <c r="D64" s="1">
        <v>10.199999999999999</v>
      </c>
    </row>
    <row r="65" spans="4:6" ht="13.2">
      <c r="D65" s="1">
        <v>10.3</v>
      </c>
    </row>
    <row r="66" spans="4:6" ht="13.2">
      <c r="D66" s="1">
        <v>10.4</v>
      </c>
    </row>
    <row r="67" spans="4:6" ht="13.2">
      <c r="D67" s="1">
        <v>10.5</v>
      </c>
    </row>
    <row r="69" spans="4:6" ht="14.4">
      <c r="D69" s="1">
        <v>11.1</v>
      </c>
      <c r="F69" s="23" t="s">
        <v>57</v>
      </c>
    </row>
    <row r="70" spans="4:6" ht="13.2">
      <c r="D70" s="1">
        <v>11.2</v>
      </c>
    </row>
    <row r="71" spans="4:6" ht="13.2">
      <c r="D71" s="1">
        <v>11.3</v>
      </c>
    </row>
    <row r="72" spans="4:6" ht="13.2">
      <c r="D72" s="1">
        <v>11.4</v>
      </c>
    </row>
    <row r="73" spans="4:6" ht="13.2">
      <c r="D73" s="1">
        <v>11.5</v>
      </c>
    </row>
    <row r="75" spans="4:6" ht="14.4">
      <c r="D75" s="1">
        <v>12.1</v>
      </c>
      <c r="F75" s="23" t="s">
        <v>123</v>
      </c>
    </row>
    <row r="76" spans="4:6" ht="13.2">
      <c r="D76" s="1">
        <v>12.2</v>
      </c>
    </row>
    <row r="77" spans="4:6" ht="13.2">
      <c r="D77" s="1">
        <v>12.3</v>
      </c>
    </row>
    <row r="78" spans="4:6" ht="13.2">
      <c r="D78" s="1">
        <v>12.4</v>
      </c>
    </row>
    <row r="79" spans="4:6" ht="13.2">
      <c r="D79" s="1">
        <v>12.5</v>
      </c>
    </row>
    <row r="81" spans="4:6" ht="14.4">
      <c r="D81" s="1">
        <v>13.1</v>
      </c>
      <c r="F81" s="23" t="s">
        <v>90</v>
      </c>
    </row>
    <row r="82" spans="4:6" ht="13.2">
      <c r="D82" s="1">
        <v>13.2</v>
      </c>
    </row>
    <row r="83" spans="4:6" ht="13.2">
      <c r="D83" s="1">
        <v>13.3</v>
      </c>
    </row>
    <row r="84" spans="4:6" ht="13.2">
      <c r="D84" s="1">
        <v>13.4</v>
      </c>
    </row>
    <row r="85" spans="4:6" ht="13.2">
      <c r="D85" s="1">
        <v>13.5</v>
      </c>
    </row>
    <row r="87" spans="4:6" ht="14.4">
      <c r="D87" s="1">
        <v>14.1</v>
      </c>
      <c r="F87" s="23" t="s">
        <v>68</v>
      </c>
    </row>
    <row r="88" spans="4:6" ht="13.2">
      <c r="D88" s="1">
        <v>14.2</v>
      </c>
    </row>
    <row r="89" spans="4:6" ht="13.2">
      <c r="D89" s="1">
        <v>14.3</v>
      </c>
    </row>
    <row r="90" spans="4:6" ht="13.2">
      <c r="D90" s="1">
        <v>14.4</v>
      </c>
    </row>
    <row r="91" spans="4:6" ht="13.2">
      <c r="D91" s="1">
        <v>14.5</v>
      </c>
    </row>
    <row r="93" spans="4:6" ht="14.4">
      <c r="D93" s="1">
        <v>15.1</v>
      </c>
      <c r="F93" s="23" t="s">
        <v>134</v>
      </c>
    </row>
    <row r="94" spans="4:6" ht="13.2">
      <c r="D94" s="1">
        <v>15.2</v>
      </c>
    </row>
    <row r="95" spans="4:6" ht="13.2">
      <c r="D95" s="1">
        <v>15.3</v>
      </c>
    </row>
    <row r="96" spans="4:6" ht="13.2">
      <c r="D96" s="1">
        <v>15.4</v>
      </c>
    </row>
    <row r="97" spans="4:6" ht="13.2">
      <c r="D97" s="1">
        <v>15.5</v>
      </c>
    </row>
    <row r="99" spans="4:6" ht="14.4">
      <c r="D99" s="1">
        <v>16.100000000000001</v>
      </c>
      <c r="F99" s="23" t="s">
        <v>79</v>
      </c>
    </row>
    <row r="100" spans="4:6" ht="13.2">
      <c r="D100" s="1">
        <v>16.2</v>
      </c>
    </row>
    <row r="101" spans="4:6" ht="13.2">
      <c r="D101" s="1">
        <v>16.3</v>
      </c>
    </row>
    <row r="102" spans="4:6" ht="13.2">
      <c r="D102" s="1">
        <v>16.399999999999999</v>
      </c>
    </row>
    <row r="103" spans="4:6" ht="13.2">
      <c r="D103" s="1">
        <v>16.5</v>
      </c>
    </row>
    <row r="105" spans="4:6" ht="14.4">
      <c r="D105" s="1">
        <v>17.100000000000001</v>
      </c>
      <c r="F105" s="23" t="s">
        <v>101</v>
      </c>
    </row>
    <row r="106" spans="4:6" ht="13.2">
      <c r="D106" s="1">
        <v>17.2</v>
      </c>
    </row>
    <row r="107" spans="4:6" ht="13.2">
      <c r="D107" s="1">
        <v>17.3</v>
      </c>
    </row>
    <row r="108" spans="4:6" ht="13.2">
      <c r="D108" s="1">
        <v>17.399999999999999</v>
      </c>
    </row>
    <row r="109" spans="4:6" ht="13.2">
      <c r="D109" s="1">
        <v>17.5</v>
      </c>
    </row>
  </sheetData>
  <hyperlinks>
    <hyperlink ref="D7" r:id="rId1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D301"/>
  <sheetViews>
    <sheetView workbookViewId="0"/>
  </sheetViews>
  <sheetFormatPr defaultColWidth="12.6640625" defaultRowHeight="15.75" customHeight="1"/>
  <cols>
    <col min="2" max="2" width="33.44140625" customWidth="1"/>
    <col min="3" max="3" width="41.21875" customWidth="1"/>
    <col min="4" max="4" width="51.21875" customWidth="1"/>
  </cols>
  <sheetData>
    <row r="1" spans="1:4" ht="15.75" customHeight="1">
      <c r="A1" s="264"/>
      <c r="B1" s="265" t="s">
        <v>2024</v>
      </c>
      <c r="C1" s="266"/>
      <c r="D1" s="266"/>
    </row>
    <row r="2" spans="1:4" ht="15.75" customHeight="1">
      <c r="A2" s="312" t="s">
        <v>2025</v>
      </c>
      <c r="B2" s="280"/>
      <c r="C2" s="280"/>
      <c r="D2" s="281"/>
    </row>
    <row r="3" spans="1:4" ht="15.75" customHeight="1">
      <c r="A3" s="306" t="s">
        <v>2026</v>
      </c>
      <c r="B3" s="280"/>
      <c r="C3" s="280"/>
      <c r="D3" s="281"/>
    </row>
    <row r="4" spans="1:4" ht="15.75" customHeight="1">
      <c r="A4" s="307" t="s">
        <v>2027</v>
      </c>
      <c r="B4" s="280"/>
      <c r="C4" s="280"/>
      <c r="D4" s="281"/>
    </row>
    <row r="5" spans="1:4" ht="15.75" customHeight="1">
      <c r="A5" s="308" t="s">
        <v>2028</v>
      </c>
      <c r="B5" s="280"/>
      <c r="C5" s="280"/>
      <c r="D5" s="281"/>
    </row>
    <row r="6" spans="1:4" ht="15.75" customHeight="1">
      <c r="A6" s="267" t="s">
        <v>2029</v>
      </c>
      <c r="B6" s="309" t="s">
        <v>519</v>
      </c>
      <c r="C6" s="281"/>
      <c r="D6" s="268" t="s">
        <v>2030</v>
      </c>
    </row>
    <row r="7" spans="1:4">
      <c r="A7" s="269">
        <v>1</v>
      </c>
      <c r="B7" s="269" t="s">
        <v>562</v>
      </c>
      <c r="C7" s="270"/>
      <c r="D7" s="269" t="s">
        <v>1277</v>
      </c>
    </row>
    <row r="8" spans="1:4">
      <c r="A8" s="269">
        <v>2</v>
      </c>
      <c r="B8" s="269" t="s">
        <v>2031</v>
      </c>
      <c r="C8" s="270"/>
      <c r="D8" s="269" t="s">
        <v>2032</v>
      </c>
    </row>
    <row r="9" spans="1:4">
      <c r="A9" s="269">
        <v>3</v>
      </c>
      <c r="B9" s="269" t="s">
        <v>676</v>
      </c>
      <c r="C9" s="270"/>
      <c r="D9" s="269" t="s">
        <v>2033</v>
      </c>
    </row>
    <row r="10" spans="1:4">
      <c r="A10" s="269">
        <v>4</v>
      </c>
      <c r="B10" s="269" t="s">
        <v>350</v>
      </c>
      <c r="C10" s="270"/>
      <c r="D10" s="269" t="s">
        <v>2034</v>
      </c>
    </row>
    <row r="11" spans="1:4">
      <c r="A11" s="269">
        <v>5</v>
      </c>
      <c r="B11" s="269" t="s">
        <v>2035</v>
      </c>
      <c r="C11" s="270"/>
      <c r="D11" s="269" t="s">
        <v>2036</v>
      </c>
    </row>
    <row r="12" spans="1:4">
      <c r="A12" s="271"/>
      <c r="B12" s="271"/>
      <c r="C12" s="272"/>
      <c r="D12" s="271"/>
    </row>
    <row r="13" spans="1:4" ht="15.75" customHeight="1">
      <c r="A13" s="306" t="s">
        <v>2037</v>
      </c>
      <c r="B13" s="280"/>
      <c r="C13" s="280"/>
      <c r="D13" s="281"/>
    </row>
    <row r="14" spans="1:4" ht="15.75" customHeight="1">
      <c r="A14" s="307" t="s">
        <v>2038</v>
      </c>
      <c r="B14" s="280"/>
      <c r="C14" s="280"/>
      <c r="D14" s="281"/>
    </row>
    <row r="15" spans="1:4" ht="15.75" customHeight="1">
      <c r="A15" s="308" t="s">
        <v>2039</v>
      </c>
      <c r="B15" s="280"/>
      <c r="C15" s="280"/>
      <c r="D15" s="281"/>
    </row>
    <row r="16" spans="1:4" ht="15.75" customHeight="1">
      <c r="A16" s="267" t="s">
        <v>2029</v>
      </c>
      <c r="B16" s="309" t="s">
        <v>519</v>
      </c>
      <c r="C16" s="281"/>
      <c r="D16" s="268" t="s">
        <v>2030</v>
      </c>
    </row>
    <row r="17" spans="1:4">
      <c r="A17" s="269">
        <v>1</v>
      </c>
      <c r="B17" s="269" t="s">
        <v>291</v>
      </c>
      <c r="C17" s="273"/>
      <c r="D17" s="269" t="s">
        <v>47</v>
      </c>
    </row>
    <row r="18" spans="1:4">
      <c r="A18" s="269">
        <v>2</v>
      </c>
      <c r="B18" s="269" t="s">
        <v>2040</v>
      </c>
      <c r="C18" s="273"/>
      <c r="D18" s="269" t="s">
        <v>972</v>
      </c>
    </row>
    <row r="19" spans="1:4">
      <c r="A19" s="269">
        <v>3</v>
      </c>
      <c r="B19" s="269" t="s">
        <v>2041</v>
      </c>
      <c r="C19" s="273"/>
      <c r="D19" s="269" t="s">
        <v>2042</v>
      </c>
    </row>
    <row r="20" spans="1:4">
      <c r="A20" s="269">
        <v>4</v>
      </c>
      <c r="B20" s="269" t="s">
        <v>498</v>
      </c>
      <c r="C20" s="273"/>
      <c r="D20" s="269" t="s">
        <v>2043</v>
      </c>
    </row>
    <row r="21" spans="1:4">
      <c r="A21" s="269">
        <v>5</v>
      </c>
      <c r="B21" s="269" t="s">
        <v>2044</v>
      </c>
      <c r="C21" s="273"/>
      <c r="D21" s="269" t="s">
        <v>1705</v>
      </c>
    </row>
    <row r="22" spans="1:4">
      <c r="A22" s="273"/>
      <c r="B22" s="273"/>
      <c r="C22" s="273"/>
      <c r="D22" s="273"/>
    </row>
    <row r="23" spans="1:4" ht="15.75" customHeight="1">
      <c r="A23" s="306" t="s">
        <v>2045</v>
      </c>
      <c r="B23" s="280"/>
      <c r="C23" s="280"/>
      <c r="D23" s="281"/>
    </row>
    <row r="24" spans="1:4" ht="22.8">
      <c r="A24" s="307" t="s">
        <v>2046</v>
      </c>
      <c r="B24" s="280"/>
      <c r="C24" s="280"/>
      <c r="D24" s="281"/>
    </row>
    <row r="25" spans="1:4" ht="20.399999999999999">
      <c r="A25" s="308" t="s">
        <v>2047</v>
      </c>
      <c r="B25" s="280"/>
      <c r="C25" s="280"/>
      <c r="D25" s="281"/>
    </row>
    <row r="26" spans="1:4" ht="17.399999999999999">
      <c r="A26" s="267" t="s">
        <v>2029</v>
      </c>
      <c r="B26" s="309" t="s">
        <v>519</v>
      </c>
      <c r="C26" s="281"/>
      <c r="D26" s="268" t="s">
        <v>2030</v>
      </c>
    </row>
    <row r="27" spans="1:4" ht="15">
      <c r="A27" s="269">
        <v>1</v>
      </c>
      <c r="B27" s="269" t="s">
        <v>1373</v>
      </c>
      <c r="C27" s="273"/>
      <c r="D27" s="269" t="s">
        <v>1602</v>
      </c>
    </row>
    <row r="28" spans="1:4" ht="15">
      <c r="A28" s="269">
        <v>2</v>
      </c>
      <c r="B28" s="269" t="s">
        <v>2048</v>
      </c>
      <c r="C28" s="273"/>
      <c r="D28" s="269" t="s">
        <v>2049</v>
      </c>
    </row>
    <row r="29" spans="1:4" ht="15">
      <c r="A29" s="269">
        <v>3</v>
      </c>
      <c r="B29" s="269" t="s">
        <v>2050</v>
      </c>
      <c r="C29" s="273"/>
      <c r="D29" s="269" t="s">
        <v>2051</v>
      </c>
    </row>
    <row r="30" spans="1:4" ht="15">
      <c r="A30" s="269">
        <v>4</v>
      </c>
      <c r="B30" s="269" t="s">
        <v>2052</v>
      </c>
      <c r="C30" s="273"/>
      <c r="D30" s="269" t="s">
        <v>2053</v>
      </c>
    </row>
    <row r="31" spans="1:4" ht="15">
      <c r="A31" s="269">
        <v>5</v>
      </c>
      <c r="B31" s="269" t="s">
        <v>2054</v>
      </c>
      <c r="C31" s="273"/>
      <c r="D31" s="269" t="s">
        <v>1679</v>
      </c>
    </row>
    <row r="32" spans="1:4" ht="15">
      <c r="A32" s="273"/>
      <c r="B32" s="273"/>
      <c r="C32" s="273"/>
      <c r="D32" s="273"/>
    </row>
    <row r="33" spans="1:4" ht="24.6">
      <c r="A33" s="306" t="s">
        <v>2055</v>
      </c>
      <c r="B33" s="280"/>
      <c r="C33" s="280"/>
      <c r="D33" s="281"/>
    </row>
    <row r="34" spans="1:4" ht="22.8">
      <c r="A34" s="307" t="s">
        <v>2056</v>
      </c>
      <c r="B34" s="280"/>
      <c r="C34" s="280"/>
      <c r="D34" s="281"/>
    </row>
    <row r="35" spans="1:4" ht="20.399999999999999">
      <c r="A35" s="308" t="s">
        <v>2057</v>
      </c>
      <c r="B35" s="280"/>
      <c r="C35" s="280"/>
      <c r="D35" s="281"/>
    </row>
    <row r="36" spans="1:4" ht="17.399999999999999">
      <c r="A36" s="267" t="s">
        <v>2029</v>
      </c>
      <c r="B36" s="309" t="s">
        <v>519</v>
      </c>
      <c r="C36" s="281"/>
      <c r="D36" s="268" t="s">
        <v>2030</v>
      </c>
    </row>
    <row r="37" spans="1:4" ht="15">
      <c r="A37" s="269">
        <v>1</v>
      </c>
      <c r="B37" s="269">
        <v>65</v>
      </c>
      <c r="C37" s="273"/>
      <c r="D37" s="269" t="s">
        <v>322</v>
      </c>
    </row>
    <row r="38" spans="1:4" ht="15">
      <c r="A38" s="269">
        <v>2</v>
      </c>
      <c r="B38" s="269">
        <v>114</v>
      </c>
      <c r="C38" s="273"/>
      <c r="D38" s="269" t="s">
        <v>2058</v>
      </c>
    </row>
    <row r="39" spans="1:4" ht="15">
      <c r="A39" s="269">
        <v>3</v>
      </c>
      <c r="B39" s="269">
        <v>121</v>
      </c>
      <c r="C39" s="273"/>
      <c r="D39" s="269" t="s">
        <v>2059</v>
      </c>
    </row>
    <row r="40" spans="1:4" ht="15">
      <c r="A40" s="269">
        <v>4</v>
      </c>
      <c r="B40" s="269">
        <v>97</v>
      </c>
      <c r="C40" s="273"/>
      <c r="D40" s="269" t="s">
        <v>1734</v>
      </c>
    </row>
    <row r="41" spans="1:4" ht="15">
      <c r="A41" s="269">
        <v>5</v>
      </c>
      <c r="B41" s="269">
        <v>110</v>
      </c>
      <c r="C41" s="273"/>
      <c r="D41" s="269" t="s">
        <v>2060</v>
      </c>
    </row>
    <row r="42" spans="1:4" ht="13.8">
      <c r="A42" s="271"/>
      <c r="B42" s="271"/>
      <c r="C42" s="271"/>
      <c r="D42" s="271"/>
    </row>
    <row r="43" spans="1:4" ht="24.6">
      <c r="A43" s="306" t="s">
        <v>2061</v>
      </c>
      <c r="B43" s="280"/>
      <c r="C43" s="280"/>
      <c r="D43" s="281"/>
    </row>
    <row r="44" spans="1:4" ht="22.8">
      <c r="A44" s="307" t="s">
        <v>2062</v>
      </c>
      <c r="B44" s="280"/>
      <c r="C44" s="280"/>
      <c r="D44" s="281"/>
    </row>
    <row r="45" spans="1:4" ht="20.399999999999999">
      <c r="A45" s="308" t="s">
        <v>2063</v>
      </c>
      <c r="B45" s="280"/>
      <c r="C45" s="280"/>
      <c r="D45" s="281"/>
    </row>
    <row r="46" spans="1:4" ht="17.399999999999999">
      <c r="A46" s="267" t="s">
        <v>2029</v>
      </c>
      <c r="B46" s="309" t="s">
        <v>519</v>
      </c>
      <c r="C46" s="281"/>
      <c r="D46" s="268" t="s">
        <v>2030</v>
      </c>
    </row>
    <row r="47" spans="1:4" ht="15">
      <c r="A47" s="269">
        <v>1</v>
      </c>
      <c r="B47" s="269" t="s">
        <v>2040</v>
      </c>
      <c r="C47" s="273"/>
      <c r="D47" s="269">
        <v>5</v>
      </c>
    </row>
    <row r="48" spans="1:4" ht="15">
      <c r="A48" s="269">
        <v>2</v>
      </c>
      <c r="B48" s="269" t="s">
        <v>2064</v>
      </c>
      <c r="C48" s="273"/>
      <c r="D48" s="269">
        <v>3</v>
      </c>
    </row>
    <row r="49" spans="1:4" ht="15">
      <c r="A49" s="269">
        <v>3</v>
      </c>
      <c r="B49" s="269" t="s">
        <v>2065</v>
      </c>
      <c r="C49" s="273"/>
      <c r="D49" s="269">
        <v>10</v>
      </c>
    </row>
    <row r="50" spans="1:4" ht="15">
      <c r="A50" s="269">
        <v>4</v>
      </c>
      <c r="B50" s="269" t="s">
        <v>2066</v>
      </c>
      <c r="C50" s="273"/>
      <c r="D50" s="269">
        <v>6</v>
      </c>
    </row>
    <row r="51" spans="1:4" ht="15">
      <c r="A51" s="269">
        <v>5</v>
      </c>
      <c r="B51" s="269" t="s">
        <v>581</v>
      </c>
      <c r="C51" s="273"/>
      <c r="D51" s="269">
        <v>4</v>
      </c>
    </row>
    <row r="52" spans="1:4" ht="15">
      <c r="A52" s="273"/>
      <c r="B52" s="273"/>
      <c r="C52" s="273"/>
      <c r="D52" s="273"/>
    </row>
    <row r="53" spans="1:4" ht="24.6">
      <c r="A53" s="306" t="s">
        <v>2067</v>
      </c>
      <c r="B53" s="280"/>
      <c r="C53" s="280"/>
      <c r="D53" s="281"/>
    </row>
    <row r="54" spans="1:4" ht="22.8">
      <c r="A54" s="307" t="s">
        <v>2068</v>
      </c>
      <c r="B54" s="280"/>
      <c r="C54" s="280"/>
      <c r="D54" s="281"/>
    </row>
    <row r="55" spans="1:4" ht="20.399999999999999">
      <c r="A55" s="308" t="s">
        <v>2069</v>
      </c>
      <c r="B55" s="280"/>
      <c r="C55" s="280"/>
      <c r="D55" s="281"/>
    </row>
    <row r="56" spans="1:4" ht="17.399999999999999">
      <c r="A56" s="267" t="s">
        <v>2029</v>
      </c>
      <c r="B56" s="309" t="s">
        <v>519</v>
      </c>
      <c r="C56" s="281"/>
      <c r="D56" s="268" t="s">
        <v>2030</v>
      </c>
    </row>
    <row r="57" spans="1:4" ht="15">
      <c r="A57" s="269">
        <v>1</v>
      </c>
      <c r="B57" s="274" t="s">
        <v>2070</v>
      </c>
      <c r="C57" s="275"/>
      <c r="D57" s="269" t="s">
        <v>2071</v>
      </c>
    </row>
    <row r="58" spans="1:4" ht="15">
      <c r="A58" s="269">
        <v>2</v>
      </c>
      <c r="B58" s="274" t="s">
        <v>2072</v>
      </c>
      <c r="C58" s="275"/>
      <c r="D58" s="269" t="s">
        <v>2073</v>
      </c>
    </row>
    <row r="59" spans="1:4" ht="15">
      <c r="A59" s="269">
        <v>3</v>
      </c>
      <c r="B59" s="269" t="s">
        <v>2074</v>
      </c>
      <c r="C59" s="273"/>
      <c r="D59" s="269" t="s">
        <v>2075</v>
      </c>
    </row>
    <row r="60" spans="1:4" ht="15">
      <c r="A60" s="269">
        <v>4</v>
      </c>
      <c r="B60" s="274" t="s">
        <v>57</v>
      </c>
      <c r="C60" s="275"/>
      <c r="D60" s="269" t="s">
        <v>2076</v>
      </c>
    </row>
    <row r="61" spans="1:4" ht="15">
      <c r="A61" s="269">
        <v>5</v>
      </c>
      <c r="B61" s="269" t="s">
        <v>2077</v>
      </c>
      <c r="C61" s="273"/>
      <c r="D61" s="269" t="s">
        <v>2078</v>
      </c>
    </row>
    <row r="62" spans="1:4" ht="15">
      <c r="A62" s="273"/>
      <c r="B62" s="273"/>
      <c r="C62" s="273"/>
      <c r="D62" s="273"/>
    </row>
    <row r="63" spans="1:4" ht="24.6">
      <c r="A63" s="306" t="s">
        <v>2079</v>
      </c>
      <c r="B63" s="280"/>
      <c r="C63" s="280"/>
      <c r="D63" s="281"/>
    </row>
    <row r="64" spans="1:4" ht="22.8">
      <c r="A64" s="307" t="s">
        <v>2080</v>
      </c>
      <c r="B64" s="280"/>
      <c r="C64" s="280"/>
      <c r="D64" s="281"/>
    </row>
    <row r="65" spans="1:4" ht="20.399999999999999">
      <c r="A65" s="308" t="s">
        <v>2081</v>
      </c>
      <c r="B65" s="280"/>
      <c r="C65" s="280"/>
      <c r="D65" s="281"/>
    </row>
    <row r="66" spans="1:4" ht="17.399999999999999">
      <c r="A66" s="267" t="s">
        <v>2029</v>
      </c>
      <c r="B66" s="309" t="s">
        <v>519</v>
      </c>
      <c r="C66" s="281"/>
      <c r="D66" s="268" t="s">
        <v>2030</v>
      </c>
    </row>
    <row r="67" spans="1:4" ht="15">
      <c r="A67" s="269">
        <v>1</v>
      </c>
      <c r="B67" s="269" t="s">
        <v>123</v>
      </c>
      <c r="C67" s="273"/>
      <c r="D67" s="269" t="s">
        <v>2082</v>
      </c>
    </row>
    <row r="68" spans="1:4" ht="15">
      <c r="A68" s="269">
        <v>2</v>
      </c>
      <c r="B68" s="269" t="s">
        <v>57</v>
      </c>
      <c r="C68" s="273"/>
      <c r="D68" s="269" t="s">
        <v>2083</v>
      </c>
    </row>
    <row r="69" spans="1:4" ht="15">
      <c r="A69" s="269">
        <v>3</v>
      </c>
      <c r="B69" s="269" t="s">
        <v>2084</v>
      </c>
      <c r="C69" s="273"/>
      <c r="D69" s="269" t="s">
        <v>2085</v>
      </c>
    </row>
    <row r="70" spans="1:4" ht="15">
      <c r="A70" s="269">
        <v>4</v>
      </c>
      <c r="B70" s="269" t="s">
        <v>79</v>
      </c>
      <c r="C70" s="273"/>
      <c r="D70" s="269" t="s">
        <v>2086</v>
      </c>
    </row>
    <row r="71" spans="1:4" ht="15">
      <c r="A71" s="269">
        <v>5</v>
      </c>
      <c r="B71" s="269" t="s">
        <v>2087</v>
      </c>
      <c r="C71" s="273"/>
      <c r="D71" s="269" t="s">
        <v>2088</v>
      </c>
    </row>
    <row r="72" spans="1:4" ht="15">
      <c r="A72" s="273"/>
      <c r="B72" s="273"/>
      <c r="C72" s="273"/>
      <c r="D72" s="273"/>
    </row>
    <row r="73" spans="1:4" ht="24.6">
      <c r="A73" s="306" t="s">
        <v>2089</v>
      </c>
      <c r="B73" s="280"/>
      <c r="C73" s="280"/>
      <c r="D73" s="281"/>
    </row>
    <row r="74" spans="1:4" ht="22.8">
      <c r="A74" s="307" t="s">
        <v>2090</v>
      </c>
      <c r="B74" s="280"/>
      <c r="C74" s="280"/>
      <c r="D74" s="281"/>
    </row>
    <row r="75" spans="1:4" ht="20.399999999999999">
      <c r="A75" s="308" t="s">
        <v>2091</v>
      </c>
      <c r="B75" s="280"/>
      <c r="C75" s="280"/>
      <c r="D75" s="281"/>
    </row>
    <row r="76" spans="1:4" ht="17.399999999999999">
      <c r="A76" s="267" t="s">
        <v>2029</v>
      </c>
      <c r="B76" s="309" t="s">
        <v>519</v>
      </c>
      <c r="C76" s="281"/>
      <c r="D76" s="268" t="s">
        <v>2030</v>
      </c>
    </row>
    <row r="77" spans="1:4" ht="15">
      <c r="A77" s="269">
        <v>1</v>
      </c>
      <c r="B77" s="269" t="s">
        <v>2092</v>
      </c>
      <c r="C77" s="273"/>
      <c r="D77" s="269" t="s">
        <v>2093</v>
      </c>
    </row>
    <row r="78" spans="1:4" ht="15">
      <c r="A78" s="269">
        <v>2</v>
      </c>
      <c r="B78" s="269" t="s">
        <v>2094</v>
      </c>
      <c r="C78" s="273"/>
      <c r="D78" s="269" t="s">
        <v>2095</v>
      </c>
    </row>
    <row r="79" spans="1:4" ht="15">
      <c r="A79" s="269">
        <v>3</v>
      </c>
      <c r="B79" s="269" t="s">
        <v>2096</v>
      </c>
      <c r="C79" s="273"/>
      <c r="D79" s="269" t="s">
        <v>2097</v>
      </c>
    </row>
    <row r="80" spans="1:4" ht="15">
      <c r="A80" s="269">
        <v>4</v>
      </c>
      <c r="B80" s="269" t="s">
        <v>1606</v>
      </c>
      <c r="C80" s="273"/>
      <c r="D80" s="269" t="s">
        <v>2098</v>
      </c>
    </row>
    <row r="81" spans="1:4" ht="15">
      <c r="A81" s="269">
        <v>5</v>
      </c>
      <c r="B81" s="269" t="s">
        <v>2099</v>
      </c>
      <c r="C81" s="273"/>
      <c r="D81" s="269" t="s">
        <v>2100</v>
      </c>
    </row>
    <row r="82" spans="1:4" ht="13.8">
      <c r="A82" s="271"/>
      <c r="B82" s="271"/>
      <c r="C82" s="271"/>
      <c r="D82" s="271"/>
    </row>
    <row r="83" spans="1:4" ht="24.6">
      <c r="A83" s="306" t="s">
        <v>2101</v>
      </c>
      <c r="B83" s="280"/>
      <c r="C83" s="280"/>
      <c r="D83" s="281"/>
    </row>
    <row r="84" spans="1:4" ht="22.8">
      <c r="A84" s="307" t="s">
        <v>2102</v>
      </c>
      <c r="B84" s="280"/>
      <c r="C84" s="280"/>
      <c r="D84" s="281"/>
    </row>
    <row r="85" spans="1:4" ht="20.399999999999999">
      <c r="A85" s="308" t="s">
        <v>2103</v>
      </c>
      <c r="B85" s="280"/>
      <c r="C85" s="280"/>
      <c r="D85" s="281"/>
    </row>
    <row r="86" spans="1:4" ht="17.399999999999999">
      <c r="A86" s="267" t="s">
        <v>2029</v>
      </c>
      <c r="B86" s="309" t="s">
        <v>519</v>
      </c>
      <c r="C86" s="281"/>
      <c r="D86" s="268" t="s">
        <v>2030</v>
      </c>
    </row>
    <row r="87" spans="1:4" ht="15">
      <c r="A87" s="269">
        <v>1</v>
      </c>
      <c r="B87" s="269" t="s">
        <v>2104</v>
      </c>
      <c r="C87" s="269" t="s">
        <v>2105</v>
      </c>
      <c r="D87" s="269" t="s">
        <v>2106</v>
      </c>
    </row>
    <row r="88" spans="1:4" ht="15">
      <c r="A88" s="269">
        <v>2</v>
      </c>
      <c r="B88" s="269" t="s">
        <v>2107</v>
      </c>
      <c r="C88" s="269" t="s">
        <v>2108</v>
      </c>
      <c r="D88" s="269" t="s">
        <v>2109</v>
      </c>
    </row>
    <row r="89" spans="1:4" ht="15">
      <c r="A89" s="269">
        <v>3</v>
      </c>
      <c r="B89" s="269" t="s">
        <v>2110</v>
      </c>
      <c r="C89" s="269" t="s">
        <v>2066</v>
      </c>
      <c r="D89" s="269" t="s">
        <v>2111</v>
      </c>
    </row>
    <row r="90" spans="1:4" ht="15">
      <c r="A90" s="269">
        <v>4</v>
      </c>
      <c r="B90" s="269" t="s">
        <v>2112</v>
      </c>
      <c r="C90" s="269" t="s">
        <v>2113</v>
      </c>
      <c r="D90" s="269" t="s">
        <v>2114</v>
      </c>
    </row>
    <row r="91" spans="1:4" ht="15">
      <c r="A91" s="269">
        <v>5</v>
      </c>
      <c r="B91" s="269" t="s">
        <v>2115</v>
      </c>
      <c r="C91" s="269" t="s">
        <v>2116</v>
      </c>
      <c r="D91" s="269" t="s">
        <v>2117</v>
      </c>
    </row>
    <row r="92" spans="1:4" ht="13.8">
      <c r="A92" s="271"/>
      <c r="B92" s="271"/>
      <c r="C92" s="271"/>
      <c r="D92" s="271"/>
    </row>
    <row r="93" spans="1:4" ht="24.6">
      <c r="A93" s="306" t="s">
        <v>2118</v>
      </c>
      <c r="B93" s="280"/>
      <c r="C93" s="280"/>
      <c r="D93" s="281"/>
    </row>
    <row r="94" spans="1:4" ht="22.8">
      <c r="A94" s="307" t="s">
        <v>2119</v>
      </c>
      <c r="B94" s="280"/>
      <c r="C94" s="280"/>
      <c r="D94" s="281"/>
    </row>
    <row r="95" spans="1:4" ht="20.399999999999999">
      <c r="A95" s="308" t="s">
        <v>2120</v>
      </c>
      <c r="B95" s="280"/>
      <c r="C95" s="280"/>
      <c r="D95" s="281"/>
    </row>
    <row r="96" spans="1:4" ht="17.399999999999999">
      <c r="A96" s="267" t="s">
        <v>2029</v>
      </c>
      <c r="B96" s="309" t="s">
        <v>519</v>
      </c>
      <c r="C96" s="281"/>
      <c r="D96" s="268" t="s">
        <v>2030</v>
      </c>
    </row>
    <row r="97" spans="1:4" ht="15">
      <c r="A97" s="269">
        <v>1</v>
      </c>
      <c r="B97" s="269" t="s">
        <v>581</v>
      </c>
      <c r="C97" s="269" t="s">
        <v>2121</v>
      </c>
      <c r="D97" s="269" t="s">
        <v>2122</v>
      </c>
    </row>
    <row r="98" spans="1:4" ht="15">
      <c r="A98" s="269">
        <v>2</v>
      </c>
      <c r="B98" s="269" t="s">
        <v>2123</v>
      </c>
      <c r="C98" s="269" t="s">
        <v>2124</v>
      </c>
      <c r="D98" s="269" t="s">
        <v>2125</v>
      </c>
    </row>
    <row r="99" spans="1:4" ht="15">
      <c r="A99" s="269">
        <v>3</v>
      </c>
      <c r="B99" s="269" t="s">
        <v>782</v>
      </c>
      <c r="C99" s="269" t="s">
        <v>2126</v>
      </c>
      <c r="D99" s="269" t="s">
        <v>2127</v>
      </c>
    </row>
    <row r="100" spans="1:4" ht="15">
      <c r="A100" s="269">
        <v>4</v>
      </c>
      <c r="B100" s="269" t="s">
        <v>1790</v>
      </c>
      <c r="C100" s="269" t="s">
        <v>2128</v>
      </c>
      <c r="D100" s="269" t="s">
        <v>2129</v>
      </c>
    </row>
    <row r="101" spans="1:4" ht="15">
      <c r="A101" s="269">
        <v>5</v>
      </c>
      <c r="B101" s="269" t="s">
        <v>2130</v>
      </c>
      <c r="C101" s="269" t="s">
        <v>2131</v>
      </c>
      <c r="D101" s="269" t="s">
        <v>2132</v>
      </c>
    </row>
    <row r="102" spans="1:4" ht="15">
      <c r="A102" s="273"/>
      <c r="B102" s="273"/>
      <c r="C102" s="273"/>
      <c r="D102" s="273"/>
    </row>
    <row r="103" spans="1:4" ht="24.6">
      <c r="A103" s="306" t="s">
        <v>2133</v>
      </c>
      <c r="B103" s="280"/>
      <c r="C103" s="280"/>
      <c r="D103" s="281"/>
    </row>
    <row r="104" spans="1:4" ht="22.8">
      <c r="A104" s="307" t="s">
        <v>2134</v>
      </c>
      <c r="B104" s="280"/>
      <c r="C104" s="280"/>
      <c r="D104" s="281"/>
    </row>
    <row r="105" spans="1:4" ht="20.399999999999999">
      <c r="A105" s="308" t="s">
        <v>2135</v>
      </c>
      <c r="B105" s="280"/>
      <c r="C105" s="280"/>
      <c r="D105" s="281"/>
    </row>
    <row r="106" spans="1:4" ht="17.399999999999999">
      <c r="A106" s="267" t="s">
        <v>2029</v>
      </c>
      <c r="B106" s="309" t="s">
        <v>519</v>
      </c>
      <c r="C106" s="281"/>
      <c r="D106" s="268" t="s">
        <v>2030</v>
      </c>
    </row>
    <row r="107" spans="1:4" ht="15">
      <c r="A107" s="269">
        <v>1</v>
      </c>
      <c r="B107" s="269" t="s">
        <v>2136</v>
      </c>
      <c r="C107" s="273"/>
      <c r="D107" s="269" t="s">
        <v>2136</v>
      </c>
    </row>
    <row r="108" spans="1:4" ht="15">
      <c r="A108" s="269">
        <v>2</v>
      </c>
      <c r="B108" s="269" t="s">
        <v>2137</v>
      </c>
      <c r="C108" s="273"/>
      <c r="D108" s="269" t="s">
        <v>2137</v>
      </c>
    </row>
    <row r="109" spans="1:4" ht="15">
      <c r="A109" s="269">
        <v>3</v>
      </c>
      <c r="B109" s="269" t="s">
        <v>2138</v>
      </c>
      <c r="C109" s="273"/>
      <c r="D109" s="269" t="s">
        <v>2138</v>
      </c>
    </row>
    <row r="110" spans="1:4" ht="15">
      <c r="A110" s="269">
        <v>4</v>
      </c>
      <c r="B110" s="269" t="s">
        <v>2139</v>
      </c>
      <c r="C110" s="273"/>
      <c r="D110" s="269" t="s">
        <v>2139</v>
      </c>
    </row>
    <row r="111" spans="1:4" ht="15">
      <c r="A111" s="269">
        <v>5</v>
      </c>
      <c r="B111" s="269" t="s">
        <v>2140</v>
      </c>
      <c r="C111" s="273"/>
      <c r="D111" s="269" t="s">
        <v>2140</v>
      </c>
    </row>
    <row r="112" spans="1:4" ht="15">
      <c r="A112" s="273"/>
      <c r="B112" s="273"/>
      <c r="C112" s="273"/>
      <c r="D112" s="273"/>
    </row>
    <row r="113" spans="1:4" ht="24.6">
      <c r="A113" s="306" t="s">
        <v>2141</v>
      </c>
      <c r="B113" s="280"/>
      <c r="C113" s="280"/>
      <c r="D113" s="281"/>
    </row>
    <row r="114" spans="1:4" ht="22.8">
      <c r="A114" s="307" t="s">
        <v>2142</v>
      </c>
      <c r="B114" s="280"/>
      <c r="C114" s="280"/>
      <c r="D114" s="281"/>
    </row>
    <row r="115" spans="1:4" ht="20.399999999999999">
      <c r="A115" s="308" t="s">
        <v>2143</v>
      </c>
      <c r="B115" s="280"/>
      <c r="C115" s="280"/>
      <c r="D115" s="281"/>
    </row>
    <row r="116" spans="1:4" ht="17.399999999999999">
      <c r="A116" s="267" t="s">
        <v>2029</v>
      </c>
      <c r="B116" s="309" t="s">
        <v>519</v>
      </c>
      <c r="C116" s="281"/>
      <c r="D116" s="268" t="s">
        <v>2030</v>
      </c>
    </row>
    <row r="117" spans="1:4" ht="15">
      <c r="A117" s="269">
        <v>1</v>
      </c>
      <c r="B117" s="269" t="s">
        <v>2144</v>
      </c>
      <c r="C117" s="273"/>
      <c r="D117" s="269">
        <v>4</v>
      </c>
    </row>
    <row r="118" spans="1:4" ht="15">
      <c r="A118" s="269">
        <v>2</v>
      </c>
      <c r="B118" s="269" t="s">
        <v>2145</v>
      </c>
      <c r="C118" s="273"/>
      <c r="D118" s="269">
        <v>4</v>
      </c>
    </row>
    <row r="119" spans="1:4" ht="15">
      <c r="A119" s="269">
        <v>3</v>
      </c>
      <c r="B119" s="269" t="s">
        <v>2146</v>
      </c>
      <c r="C119" s="273"/>
      <c r="D119" s="269">
        <v>8</v>
      </c>
    </row>
    <row r="120" spans="1:4" ht="15">
      <c r="A120" s="269">
        <v>4</v>
      </c>
      <c r="B120" s="269" t="s">
        <v>2147</v>
      </c>
      <c r="C120" s="273"/>
      <c r="D120" s="269">
        <v>1</v>
      </c>
    </row>
    <row r="121" spans="1:4" ht="15">
      <c r="A121" s="269">
        <v>5</v>
      </c>
      <c r="B121" s="269" t="s">
        <v>2148</v>
      </c>
      <c r="C121" s="273"/>
      <c r="D121" s="269">
        <v>8</v>
      </c>
    </row>
    <row r="122" spans="1:4" ht="15">
      <c r="A122" s="273"/>
      <c r="B122" s="273"/>
      <c r="C122" s="273"/>
      <c r="D122" s="273"/>
    </row>
    <row r="123" spans="1:4" ht="24.6">
      <c r="A123" s="306" t="s">
        <v>2149</v>
      </c>
      <c r="B123" s="280"/>
      <c r="C123" s="280"/>
      <c r="D123" s="281"/>
    </row>
    <row r="124" spans="1:4" ht="22.8">
      <c r="A124" s="307" t="s">
        <v>2150</v>
      </c>
      <c r="B124" s="280"/>
      <c r="C124" s="280"/>
      <c r="D124" s="281"/>
    </row>
    <row r="125" spans="1:4" ht="20.399999999999999">
      <c r="A125" s="308" t="s">
        <v>2151</v>
      </c>
      <c r="B125" s="280"/>
      <c r="C125" s="280"/>
      <c r="D125" s="281"/>
    </row>
    <row r="126" spans="1:4" ht="17.399999999999999">
      <c r="A126" s="267" t="s">
        <v>2029</v>
      </c>
      <c r="B126" s="309" t="s">
        <v>519</v>
      </c>
      <c r="C126" s="281"/>
      <c r="D126" s="268" t="s">
        <v>2030</v>
      </c>
    </row>
    <row r="127" spans="1:4" ht="15">
      <c r="A127" s="269">
        <v>1</v>
      </c>
      <c r="B127" s="269" t="s">
        <v>577</v>
      </c>
      <c r="C127" s="269" t="s">
        <v>592</v>
      </c>
      <c r="D127" s="269" t="b">
        <v>0</v>
      </c>
    </row>
    <row r="128" spans="1:4" ht="15">
      <c r="A128" s="269">
        <v>2</v>
      </c>
      <c r="B128" s="269" t="s">
        <v>2040</v>
      </c>
      <c r="C128" s="269" t="s">
        <v>2040</v>
      </c>
      <c r="D128" s="269" t="b">
        <v>1</v>
      </c>
    </row>
    <row r="129" spans="1:4" ht="15">
      <c r="A129" s="269">
        <v>3</v>
      </c>
      <c r="B129" s="269" t="s">
        <v>2152</v>
      </c>
      <c r="C129" s="269" t="s">
        <v>2153</v>
      </c>
      <c r="D129" s="269" t="b">
        <v>0</v>
      </c>
    </row>
    <row r="130" spans="1:4" ht="15">
      <c r="A130" s="269">
        <v>4</v>
      </c>
      <c r="B130" s="269" t="s">
        <v>2154</v>
      </c>
      <c r="C130" s="269" t="s">
        <v>2154</v>
      </c>
      <c r="D130" s="269" t="b">
        <v>1</v>
      </c>
    </row>
    <row r="131" spans="1:4" ht="15">
      <c r="A131" s="269">
        <v>5</v>
      </c>
      <c r="B131" s="269" t="s">
        <v>2155</v>
      </c>
      <c r="C131" s="269" t="s">
        <v>2156</v>
      </c>
      <c r="D131" s="269" t="b">
        <v>0</v>
      </c>
    </row>
    <row r="132" spans="1:4" ht="15">
      <c r="A132" s="273"/>
      <c r="B132" s="273"/>
      <c r="C132" s="273"/>
      <c r="D132" s="273"/>
    </row>
    <row r="133" spans="1:4" ht="24.6">
      <c r="A133" s="306" t="s">
        <v>2157</v>
      </c>
      <c r="B133" s="280"/>
      <c r="C133" s="280"/>
      <c r="D133" s="281"/>
    </row>
    <row r="134" spans="1:4" ht="22.8">
      <c r="A134" s="307" t="s">
        <v>2158</v>
      </c>
      <c r="B134" s="280"/>
      <c r="C134" s="280"/>
      <c r="D134" s="281"/>
    </row>
    <row r="135" spans="1:4" ht="20.399999999999999">
      <c r="A135" s="308" t="s">
        <v>2159</v>
      </c>
      <c r="B135" s="280"/>
      <c r="C135" s="280"/>
      <c r="D135" s="281"/>
    </row>
    <row r="136" spans="1:4" ht="17.399999999999999">
      <c r="A136" s="267" t="s">
        <v>2029</v>
      </c>
      <c r="B136" s="309" t="s">
        <v>519</v>
      </c>
      <c r="C136" s="281"/>
      <c r="D136" s="268" t="s">
        <v>2030</v>
      </c>
    </row>
    <row r="137" spans="1:4" ht="15">
      <c r="A137" s="269">
        <v>1</v>
      </c>
      <c r="B137" s="269" t="s">
        <v>2110</v>
      </c>
      <c r="C137" s="273"/>
      <c r="D137" s="269" t="s">
        <v>2160</v>
      </c>
    </row>
    <row r="138" spans="1:4" ht="15">
      <c r="A138" s="269">
        <v>2</v>
      </c>
      <c r="B138" s="269" t="s">
        <v>2066</v>
      </c>
      <c r="C138" s="273"/>
      <c r="D138" s="269" t="s">
        <v>2161</v>
      </c>
    </row>
    <row r="139" spans="1:4" ht="15">
      <c r="A139" s="269">
        <v>3</v>
      </c>
      <c r="B139" s="269" t="s">
        <v>2162</v>
      </c>
      <c r="C139" s="273"/>
      <c r="D139" s="269" t="s">
        <v>2163</v>
      </c>
    </row>
    <row r="140" spans="1:4" ht="15">
      <c r="A140" s="269">
        <v>4</v>
      </c>
      <c r="B140" s="269" t="s">
        <v>2164</v>
      </c>
      <c r="C140" s="273"/>
      <c r="D140" s="269" t="s">
        <v>2165</v>
      </c>
    </row>
    <row r="141" spans="1:4" ht="15">
      <c r="A141" s="269">
        <v>5</v>
      </c>
      <c r="B141" s="269" t="s">
        <v>2166</v>
      </c>
      <c r="C141" s="273"/>
      <c r="D141" s="269" t="s">
        <v>2167</v>
      </c>
    </row>
    <row r="142" spans="1:4" ht="15">
      <c r="A142" s="273"/>
      <c r="B142" s="273"/>
      <c r="C142" s="273"/>
      <c r="D142" s="273"/>
    </row>
    <row r="143" spans="1:4" ht="24.6">
      <c r="A143" s="306" t="s">
        <v>2168</v>
      </c>
      <c r="B143" s="280"/>
      <c r="C143" s="280"/>
      <c r="D143" s="281"/>
    </row>
    <row r="144" spans="1:4" ht="22.8">
      <c r="A144" s="307" t="s">
        <v>2169</v>
      </c>
      <c r="B144" s="280"/>
      <c r="C144" s="280"/>
      <c r="D144" s="281"/>
    </row>
    <row r="145" spans="1:4" ht="20.399999999999999">
      <c r="A145" s="308" t="s">
        <v>2170</v>
      </c>
      <c r="B145" s="280"/>
      <c r="C145" s="280"/>
      <c r="D145" s="281"/>
    </row>
    <row r="146" spans="1:4" ht="17.399999999999999">
      <c r="A146" s="267" t="s">
        <v>2029</v>
      </c>
      <c r="B146" s="309" t="s">
        <v>519</v>
      </c>
      <c r="C146" s="281"/>
      <c r="D146" s="268" t="s">
        <v>2030</v>
      </c>
    </row>
    <row r="147" spans="1:4" ht="15">
      <c r="A147" s="269">
        <v>1</v>
      </c>
      <c r="B147" s="269" t="s">
        <v>2171</v>
      </c>
      <c r="C147" s="273"/>
      <c r="D147" s="269" t="s">
        <v>2172</v>
      </c>
    </row>
    <row r="148" spans="1:4" ht="15">
      <c r="A148" s="269">
        <v>2</v>
      </c>
      <c r="B148" s="269" t="s">
        <v>2173</v>
      </c>
      <c r="C148" s="273"/>
      <c r="D148" s="269" t="s">
        <v>2174</v>
      </c>
    </row>
    <row r="149" spans="1:4" ht="15">
      <c r="A149" s="269">
        <v>3</v>
      </c>
      <c r="B149" s="269" t="s">
        <v>2175</v>
      </c>
      <c r="C149" s="273"/>
      <c r="D149" s="269" t="s">
        <v>2176</v>
      </c>
    </row>
    <row r="150" spans="1:4" ht="15">
      <c r="A150" s="269">
        <v>4</v>
      </c>
      <c r="B150" s="269" t="s">
        <v>2177</v>
      </c>
      <c r="C150" s="273"/>
      <c r="D150" s="269" t="s">
        <v>2178</v>
      </c>
    </row>
    <row r="151" spans="1:4" ht="15">
      <c r="A151" s="269">
        <v>5</v>
      </c>
      <c r="B151" s="269" t="s">
        <v>2179</v>
      </c>
      <c r="C151" s="273"/>
      <c r="D151" s="269" t="s">
        <v>2180</v>
      </c>
    </row>
    <row r="152" spans="1:4" ht="13.8">
      <c r="A152" s="276"/>
      <c r="B152" s="277"/>
      <c r="C152" s="277"/>
      <c r="D152" s="277"/>
    </row>
    <row r="153" spans="1:4" ht="24.6">
      <c r="A153" s="310"/>
      <c r="B153" s="303"/>
      <c r="C153" s="303"/>
      <c r="D153" s="303"/>
    </row>
    <row r="154" spans="1:4" ht="22.8">
      <c r="A154" s="311"/>
      <c r="B154" s="303"/>
      <c r="C154" s="303"/>
      <c r="D154" s="303"/>
    </row>
    <row r="155" spans="1:4" ht="22.8">
      <c r="A155" s="311"/>
      <c r="B155" s="303"/>
      <c r="C155" s="303"/>
      <c r="D155" s="303"/>
    </row>
    <row r="156" spans="1:4" ht="17.399999999999999">
      <c r="A156" s="278"/>
      <c r="B156" s="278"/>
      <c r="C156" s="278"/>
      <c r="D156" s="278"/>
    </row>
    <row r="157" spans="1:4" ht="13.8">
      <c r="A157" s="266"/>
      <c r="B157" s="266"/>
      <c r="C157" s="266"/>
      <c r="D157" s="266"/>
    </row>
    <row r="158" spans="1:4" ht="13.8">
      <c r="A158" s="266"/>
      <c r="B158" s="266"/>
      <c r="C158" s="266"/>
      <c r="D158" s="266"/>
    </row>
    <row r="159" spans="1:4" ht="13.8">
      <c r="A159" s="266"/>
      <c r="B159" s="266"/>
      <c r="C159" s="266"/>
      <c r="D159" s="266"/>
    </row>
    <row r="160" spans="1:4" ht="13.8">
      <c r="A160" s="266"/>
      <c r="B160" s="266"/>
      <c r="C160" s="266"/>
      <c r="D160" s="266"/>
    </row>
    <row r="161" spans="1:4" ht="13.8">
      <c r="A161" s="266"/>
      <c r="B161" s="266"/>
      <c r="C161" s="266"/>
      <c r="D161" s="266"/>
    </row>
    <row r="162" spans="1:4" ht="13.8">
      <c r="A162" s="266"/>
      <c r="B162" s="266"/>
      <c r="C162" s="266"/>
      <c r="D162" s="266"/>
    </row>
    <row r="163" spans="1:4" ht="24.6">
      <c r="A163" s="310"/>
      <c r="B163" s="303"/>
      <c r="C163" s="303"/>
      <c r="D163" s="303"/>
    </row>
    <row r="164" spans="1:4" ht="22.8">
      <c r="A164" s="311"/>
      <c r="B164" s="303"/>
      <c r="C164" s="303"/>
      <c r="D164" s="303"/>
    </row>
    <row r="165" spans="1:4" ht="22.8">
      <c r="A165" s="311"/>
      <c r="B165" s="303"/>
      <c r="C165" s="303"/>
      <c r="D165" s="303"/>
    </row>
    <row r="166" spans="1:4" ht="17.399999999999999">
      <c r="A166" s="278"/>
      <c r="B166" s="278"/>
      <c r="C166" s="278"/>
      <c r="D166" s="278"/>
    </row>
    <row r="167" spans="1:4" ht="13.8">
      <c r="A167" s="266"/>
      <c r="B167" s="266"/>
      <c r="C167" s="266"/>
      <c r="D167" s="266"/>
    </row>
    <row r="168" spans="1:4" ht="13.8">
      <c r="A168" s="266"/>
      <c r="B168" s="266"/>
      <c r="C168" s="266"/>
      <c r="D168" s="266"/>
    </row>
    <row r="169" spans="1:4" ht="13.8">
      <c r="A169" s="266"/>
      <c r="B169" s="266"/>
      <c r="C169" s="266"/>
      <c r="D169" s="266"/>
    </row>
    <row r="170" spans="1:4" ht="13.8">
      <c r="A170" s="266"/>
      <c r="B170" s="266"/>
      <c r="C170" s="266"/>
      <c r="D170" s="266"/>
    </row>
    <row r="171" spans="1:4" ht="13.8">
      <c r="A171" s="266"/>
      <c r="B171" s="266"/>
      <c r="C171" s="266"/>
      <c r="D171" s="266"/>
    </row>
    <row r="172" spans="1:4" ht="13.8">
      <c r="A172" s="266"/>
      <c r="B172" s="266"/>
      <c r="C172" s="266"/>
      <c r="D172" s="266"/>
    </row>
    <row r="173" spans="1:4" ht="24.6">
      <c r="A173" s="310"/>
      <c r="B173" s="303"/>
      <c r="C173" s="303"/>
      <c r="D173" s="303"/>
    </row>
    <row r="174" spans="1:4" ht="22.8">
      <c r="A174" s="311"/>
      <c r="B174" s="303"/>
      <c r="C174" s="303"/>
      <c r="D174" s="303"/>
    </row>
    <row r="175" spans="1:4" ht="22.8">
      <c r="A175" s="311"/>
      <c r="B175" s="303"/>
      <c r="C175" s="303"/>
      <c r="D175" s="303"/>
    </row>
    <row r="176" spans="1:4" ht="17.399999999999999">
      <c r="A176" s="278"/>
      <c r="B176" s="278"/>
      <c r="C176" s="278"/>
      <c r="D176" s="278"/>
    </row>
    <row r="177" spans="1:4" ht="13.8">
      <c r="A177" s="266"/>
      <c r="B177" s="266"/>
      <c r="C177" s="266"/>
      <c r="D177" s="266"/>
    </row>
    <row r="178" spans="1:4" ht="13.8">
      <c r="A178" s="266"/>
      <c r="B178" s="266"/>
      <c r="C178" s="266"/>
      <c r="D178" s="266"/>
    </row>
    <row r="179" spans="1:4" ht="13.8">
      <c r="A179" s="266"/>
      <c r="B179" s="266"/>
      <c r="C179" s="266"/>
      <c r="D179" s="266"/>
    </row>
    <row r="180" spans="1:4" ht="13.8">
      <c r="A180" s="266"/>
      <c r="B180" s="266"/>
      <c r="C180" s="266"/>
      <c r="D180" s="266"/>
    </row>
    <row r="181" spans="1:4" ht="13.8">
      <c r="A181" s="266"/>
      <c r="B181" s="266"/>
      <c r="C181" s="266"/>
      <c r="D181" s="266"/>
    </row>
    <row r="182" spans="1:4" ht="13.8">
      <c r="A182" s="266"/>
      <c r="B182" s="266"/>
      <c r="C182" s="266"/>
      <c r="D182" s="266"/>
    </row>
    <row r="183" spans="1:4" ht="24.6">
      <c r="A183" s="310"/>
      <c r="B183" s="303"/>
      <c r="C183" s="303"/>
      <c r="D183" s="303"/>
    </row>
    <row r="184" spans="1:4" ht="22.8">
      <c r="A184" s="311"/>
      <c r="B184" s="303"/>
      <c r="C184" s="303"/>
      <c r="D184" s="303"/>
    </row>
    <row r="185" spans="1:4" ht="22.8">
      <c r="A185" s="311"/>
      <c r="B185" s="303"/>
      <c r="C185" s="303"/>
      <c r="D185" s="303"/>
    </row>
    <row r="186" spans="1:4" ht="17.399999999999999">
      <c r="A186" s="278"/>
      <c r="B186" s="278"/>
      <c r="C186" s="278"/>
      <c r="D186" s="278"/>
    </row>
    <row r="187" spans="1:4" ht="13.8">
      <c r="A187" s="266"/>
      <c r="B187" s="266"/>
      <c r="C187" s="266"/>
      <c r="D187" s="266"/>
    </row>
    <row r="188" spans="1:4" ht="13.8">
      <c r="A188" s="266"/>
      <c r="B188" s="266"/>
      <c r="C188" s="266"/>
      <c r="D188" s="266"/>
    </row>
    <row r="189" spans="1:4" ht="13.8">
      <c r="A189" s="266"/>
      <c r="B189" s="266"/>
      <c r="C189" s="266"/>
      <c r="D189" s="266"/>
    </row>
    <row r="190" spans="1:4" ht="13.8">
      <c r="A190" s="266"/>
      <c r="B190" s="266"/>
      <c r="C190" s="266"/>
      <c r="D190" s="266"/>
    </row>
    <row r="191" spans="1:4" ht="13.8">
      <c r="A191" s="266"/>
      <c r="B191" s="266"/>
      <c r="C191" s="266"/>
      <c r="D191" s="266"/>
    </row>
    <row r="192" spans="1:4" ht="13.8">
      <c r="A192" s="266"/>
      <c r="B192" s="266"/>
      <c r="C192" s="266"/>
      <c r="D192" s="266"/>
    </row>
    <row r="193" spans="1:4" ht="24.6">
      <c r="A193" s="310"/>
      <c r="B193" s="303"/>
      <c r="C193" s="303"/>
      <c r="D193" s="303"/>
    </row>
    <row r="194" spans="1:4" ht="22.8">
      <c r="A194" s="311"/>
      <c r="B194" s="303"/>
      <c r="C194" s="303"/>
      <c r="D194" s="303"/>
    </row>
    <row r="195" spans="1:4" ht="22.8">
      <c r="A195" s="311"/>
      <c r="B195" s="303"/>
      <c r="C195" s="303"/>
      <c r="D195" s="303"/>
    </row>
    <row r="196" spans="1:4" ht="17.399999999999999">
      <c r="A196" s="278"/>
      <c r="B196" s="278"/>
      <c r="C196" s="278"/>
      <c r="D196" s="278"/>
    </row>
    <row r="197" spans="1:4" ht="13.8">
      <c r="A197" s="266"/>
      <c r="B197" s="266"/>
      <c r="C197" s="266"/>
      <c r="D197" s="266"/>
    </row>
    <row r="198" spans="1:4" ht="13.8">
      <c r="A198" s="266"/>
      <c r="B198" s="266"/>
      <c r="C198" s="266"/>
      <c r="D198" s="266"/>
    </row>
    <row r="199" spans="1:4" ht="13.8">
      <c r="A199" s="266"/>
      <c r="B199" s="266"/>
      <c r="C199" s="266"/>
      <c r="D199" s="266"/>
    </row>
    <row r="200" spans="1:4" ht="13.8">
      <c r="A200" s="266"/>
      <c r="B200" s="266"/>
      <c r="C200" s="266"/>
      <c r="D200" s="266"/>
    </row>
    <row r="201" spans="1:4" ht="13.8">
      <c r="A201" s="266"/>
      <c r="B201" s="266"/>
      <c r="C201" s="266"/>
      <c r="D201" s="266"/>
    </row>
    <row r="202" spans="1:4" ht="13.8">
      <c r="A202" s="266"/>
      <c r="B202" s="266"/>
      <c r="C202" s="266"/>
      <c r="D202" s="266"/>
    </row>
    <row r="203" spans="1:4" ht="24.6">
      <c r="A203" s="310"/>
      <c r="B203" s="303"/>
      <c r="C203" s="303"/>
      <c r="D203" s="303"/>
    </row>
    <row r="204" spans="1:4" ht="22.8">
      <c r="A204" s="311"/>
      <c r="B204" s="303"/>
      <c r="C204" s="303"/>
      <c r="D204" s="303"/>
    </row>
    <row r="205" spans="1:4" ht="22.8">
      <c r="A205" s="311"/>
      <c r="B205" s="303"/>
      <c r="C205" s="303"/>
      <c r="D205" s="303"/>
    </row>
    <row r="206" spans="1:4" ht="17.399999999999999">
      <c r="A206" s="278"/>
      <c r="B206" s="278"/>
      <c r="C206" s="278"/>
      <c r="D206" s="278"/>
    </row>
    <row r="207" spans="1:4" ht="13.8">
      <c r="A207" s="266"/>
      <c r="B207" s="266"/>
      <c r="C207" s="266"/>
      <c r="D207" s="266"/>
    </row>
    <row r="208" spans="1:4" ht="13.8">
      <c r="A208" s="266"/>
      <c r="B208" s="266"/>
      <c r="C208" s="266"/>
      <c r="D208" s="266"/>
    </row>
    <row r="209" spans="1:4" ht="13.8">
      <c r="A209" s="266"/>
      <c r="B209" s="266"/>
      <c r="C209" s="266"/>
      <c r="D209" s="266"/>
    </row>
    <row r="210" spans="1:4" ht="13.8">
      <c r="A210" s="266"/>
      <c r="B210" s="266"/>
      <c r="C210" s="266"/>
      <c r="D210" s="266"/>
    </row>
    <row r="211" spans="1:4" ht="13.8">
      <c r="A211" s="266"/>
      <c r="B211" s="266"/>
      <c r="C211" s="266"/>
      <c r="D211" s="266"/>
    </row>
    <row r="212" spans="1:4" ht="13.8">
      <c r="A212" s="266"/>
      <c r="B212" s="266"/>
      <c r="C212" s="266"/>
      <c r="D212" s="266"/>
    </row>
    <row r="213" spans="1:4" ht="24.6">
      <c r="A213" s="310"/>
      <c r="B213" s="303"/>
      <c r="C213" s="303"/>
      <c r="D213" s="303"/>
    </row>
    <row r="214" spans="1:4" ht="22.8">
      <c r="A214" s="311"/>
      <c r="B214" s="303"/>
      <c r="C214" s="303"/>
      <c r="D214" s="303"/>
    </row>
    <row r="215" spans="1:4" ht="22.8">
      <c r="A215" s="311"/>
      <c r="B215" s="303"/>
      <c r="C215" s="303"/>
      <c r="D215" s="303"/>
    </row>
    <row r="216" spans="1:4" ht="17.399999999999999">
      <c r="A216" s="278"/>
      <c r="B216" s="278"/>
      <c r="C216" s="278"/>
      <c r="D216" s="278"/>
    </row>
    <row r="217" spans="1:4" ht="13.8">
      <c r="A217" s="266"/>
      <c r="B217" s="266"/>
      <c r="C217" s="266"/>
      <c r="D217" s="266"/>
    </row>
    <row r="218" spans="1:4" ht="13.8">
      <c r="A218" s="266"/>
      <c r="B218" s="266"/>
      <c r="C218" s="266"/>
      <c r="D218" s="266"/>
    </row>
    <row r="219" spans="1:4" ht="13.8">
      <c r="A219" s="266"/>
      <c r="B219" s="266"/>
      <c r="C219" s="266"/>
      <c r="D219" s="266"/>
    </row>
    <row r="220" spans="1:4" ht="13.8">
      <c r="A220" s="266"/>
      <c r="B220" s="266"/>
      <c r="C220" s="266"/>
      <c r="D220" s="266"/>
    </row>
    <row r="221" spans="1:4" ht="13.8">
      <c r="A221" s="266"/>
      <c r="B221" s="266"/>
      <c r="C221" s="266"/>
      <c r="D221" s="266"/>
    </row>
    <row r="222" spans="1:4" ht="13.8">
      <c r="A222" s="266"/>
      <c r="B222" s="266"/>
      <c r="C222" s="266"/>
      <c r="D222" s="266"/>
    </row>
    <row r="223" spans="1:4" ht="24.6">
      <c r="A223" s="310"/>
      <c r="B223" s="303"/>
      <c r="C223" s="303"/>
      <c r="D223" s="303"/>
    </row>
    <row r="224" spans="1:4" ht="22.8">
      <c r="A224" s="311"/>
      <c r="B224" s="303"/>
      <c r="C224" s="303"/>
      <c r="D224" s="303"/>
    </row>
    <row r="225" spans="1:4" ht="22.8">
      <c r="A225" s="311"/>
      <c r="B225" s="303"/>
      <c r="C225" s="303"/>
      <c r="D225" s="303"/>
    </row>
    <row r="226" spans="1:4" ht="17.399999999999999">
      <c r="A226" s="278"/>
      <c r="B226" s="278"/>
      <c r="C226" s="278"/>
      <c r="D226" s="278"/>
    </row>
    <row r="227" spans="1:4" ht="13.8">
      <c r="A227" s="266"/>
      <c r="B227" s="266"/>
      <c r="C227" s="266"/>
      <c r="D227" s="266"/>
    </row>
    <row r="228" spans="1:4" ht="13.8">
      <c r="A228" s="266"/>
      <c r="B228" s="266"/>
      <c r="C228" s="266"/>
      <c r="D228" s="266"/>
    </row>
    <row r="229" spans="1:4" ht="13.8">
      <c r="A229" s="266"/>
      <c r="B229" s="266"/>
      <c r="C229" s="266"/>
      <c r="D229" s="266"/>
    </row>
    <row r="230" spans="1:4" ht="13.8">
      <c r="A230" s="266"/>
      <c r="B230" s="266"/>
      <c r="C230" s="266"/>
      <c r="D230" s="266"/>
    </row>
    <row r="231" spans="1:4" ht="13.8">
      <c r="A231" s="266"/>
      <c r="B231" s="266"/>
      <c r="C231" s="266"/>
      <c r="D231" s="266"/>
    </row>
    <row r="232" spans="1:4" ht="13.8">
      <c r="A232" s="266"/>
      <c r="B232" s="266"/>
      <c r="C232" s="266"/>
      <c r="D232" s="266"/>
    </row>
    <row r="233" spans="1:4" ht="24.6">
      <c r="A233" s="310"/>
      <c r="B233" s="303"/>
      <c r="C233" s="303"/>
      <c r="D233" s="303"/>
    </row>
    <row r="234" spans="1:4" ht="22.8">
      <c r="A234" s="311"/>
      <c r="B234" s="303"/>
      <c r="C234" s="303"/>
      <c r="D234" s="303"/>
    </row>
    <row r="235" spans="1:4" ht="22.8">
      <c r="A235" s="311"/>
      <c r="B235" s="303"/>
      <c r="C235" s="303"/>
      <c r="D235" s="303"/>
    </row>
    <row r="236" spans="1:4" ht="17.399999999999999">
      <c r="A236" s="278"/>
      <c r="B236" s="278"/>
      <c r="C236" s="278"/>
      <c r="D236" s="278"/>
    </row>
    <row r="237" spans="1:4" ht="13.8">
      <c r="A237" s="266"/>
      <c r="B237" s="266"/>
      <c r="C237" s="266"/>
      <c r="D237" s="266"/>
    </row>
    <row r="238" spans="1:4" ht="13.8">
      <c r="A238" s="266"/>
      <c r="B238" s="266"/>
      <c r="C238" s="266"/>
      <c r="D238" s="266"/>
    </row>
    <row r="239" spans="1:4" ht="13.8">
      <c r="A239" s="266"/>
      <c r="B239" s="266"/>
      <c r="C239" s="266"/>
      <c r="D239" s="266"/>
    </row>
    <row r="240" spans="1:4" ht="13.8">
      <c r="A240" s="266"/>
      <c r="B240" s="266"/>
      <c r="C240" s="266"/>
      <c r="D240" s="266"/>
    </row>
    <row r="241" spans="1:4" ht="13.8">
      <c r="A241" s="266"/>
      <c r="B241" s="266"/>
      <c r="C241" s="266"/>
      <c r="D241" s="266"/>
    </row>
    <row r="242" spans="1:4" ht="13.8">
      <c r="A242" s="266"/>
      <c r="B242" s="266"/>
      <c r="C242" s="266"/>
      <c r="D242" s="266"/>
    </row>
    <row r="243" spans="1:4" ht="24.6">
      <c r="A243" s="310"/>
      <c r="B243" s="303"/>
      <c r="C243" s="303"/>
      <c r="D243" s="303"/>
    </row>
    <row r="244" spans="1:4" ht="22.8">
      <c r="A244" s="311"/>
      <c r="B244" s="303"/>
      <c r="C244" s="303"/>
      <c r="D244" s="303"/>
    </row>
    <row r="245" spans="1:4" ht="22.8">
      <c r="A245" s="311"/>
      <c r="B245" s="303"/>
      <c r="C245" s="303"/>
      <c r="D245" s="303"/>
    </row>
    <row r="246" spans="1:4" ht="17.399999999999999">
      <c r="A246" s="278"/>
      <c r="B246" s="278"/>
      <c r="C246" s="278"/>
      <c r="D246" s="278"/>
    </row>
    <row r="247" spans="1:4" ht="13.8">
      <c r="A247" s="266"/>
      <c r="B247" s="266"/>
      <c r="C247" s="266"/>
      <c r="D247" s="266"/>
    </row>
    <row r="248" spans="1:4" ht="13.8">
      <c r="A248" s="266"/>
      <c r="B248" s="266"/>
      <c r="C248" s="266"/>
      <c r="D248" s="266"/>
    </row>
    <row r="249" spans="1:4" ht="13.8">
      <c r="A249" s="266"/>
      <c r="B249" s="266"/>
      <c r="C249" s="266"/>
      <c r="D249" s="266"/>
    </row>
    <row r="250" spans="1:4" ht="13.8">
      <c r="A250" s="266"/>
      <c r="B250" s="266"/>
      <c r="C250" s="266"/>
      <c r="D250" s="266"/>
    </row>
    <row r="251" spans="1:4" ht="13.8">
      <c r="A251" s="266"/>
      <c r="B251" s="266"/>
      <c r="C251" s="266"/>
      <c r="D251" s="266"/>
    </row>
    <row r="252" spans="1:4" ht="13.8">
      <c r="A252" s="266"/>
      <c r="B252" s="266"/>
      <c r="C252" s="266"/>
      <c r="D252" s="266"/>
    </row>
    <row r="253" spans="1:4" ht="24.6">
      <c r="A253" s="310"/>
      <c r="B253" s="303"/>
      <c r="C253" s="303"/>
      <c r="D253" s="303"/>
    </row>
    <row r="254" spans="1:4" ht="22.8">
      <c r="A254" s="311"/>
      <c r="B254" s="303"/>
      <c r="C254" s="303"/>
      <c r="D254" s="303"/>
    </row>
    <row r="255" spans="1:4" ht="22.8">
      <c r="A255" s="311"/>
      <c r="B255" s="303"/>
      <c r="C255" s="303"/>
      <c r="D255" s="303"/>
    </row>
    <row r="256" spans="1:4" ht="17.399999999999999">
      <c r="A256" s="278"/>
      <c r="B256" s="278"/>
      <c r="C256" s="278"/>
      <c r="D256" s="278"/>
    </row>
    <row r="257" spans="1:4" ht="13.8">
      <c r="A257" s="266"/>
      <c r="B257" s="266"/>
      <c r="C257" s="266"/>
      <c r="D257" s="266"/>
    </row>
    <row r="258" spans="1:4" ht="13.8">
      <c r="A258" s="266"/>
      <c r="B258" s="266"/>
      <c r="C258" s="266"/>
      <c r="D258" s="266"/>
    </row>
    <row r="259" spans="1:4" ht="13.8">
      <c r="A259" s="266"/>
      <c r="B259" s="266"/>
      <c r="C259" s="266"/>
      <c r="D259" s="266"/>
    </row>
    <row r="260" spans="1:4" ht="13.8">
      <c r="A260" s="266"/>
      <c r="B260" s="266"/>
      <c r="C260" s="266"/>
      <c r="D260" s="266"/>
    </row>
    <row r="261" spans="1:4" ht="13.8">
      <c r="A261" s="266"/>
      <c r="B261" s="266"/>
      <c r="C261" s="266"/>
      <c r="D261" s="266"/>
    </row>
    <row r="262" spans="1:4" ht="13.8">
      <c r="A262" s="266"/>
      <c r="B262" s="266"/>
      <c r="C262" s="266"/>
      <c r="D262" s="266"/>
    </row>
    <row r="263" spans="1:4" ht="24.6">
      <c r="A263" s="310"/>
      <c r="B263" s="303"/>
      <c r="C263" s="303"/>
      <c r="D263" s="303"/>
    </row>
    <row r="264" spans="1:4" ht="22.8">
      <c r="A264" s="311"/>
      <c r="B264" s="303"/>
      <c r="C264" s="303"/>
      <c r="D264" s="303"/>
    </row>
    <row r="265" spans="1:4" ht="22.8">
      <c r="A265" s="311"/>
      <c r="B265" s="303"/>
      <c r="C265" s="303"/>
      <c r="D265" s="303"/>
    </row>
    <row r="266" spans="1:4" ht="17.399999999999999">
      <c r="A266" s="278"/>
      <c r="B266" s="278"/>
      <c r="C266" s="278"/>
      <c r="D266" s="278"/>
    </row>
    <row r="267" spans="1:4" ht="13.8">
      <c r="A267" s="266"/>
      <c r="B267" s="266"/>
      <c r="C267" s="266"/>
      <c r="D267" s="266"/>
    </row>
    <row r="268" spans="1:4" ht="13.8">
      <c r="A268" s="266"/>
      <c r="B268" s="266"/>
      <c r="C268" s="266"/>
      <c r="D268" s="266"/>
    </row>
    <row r="269" spans="1:4" ht="13.8">
      <c r="A269" s="266"/>
      <c r="B269" s="266"/>
      <c r="C269" s="266"/>
      <c r="D269" s="266"/>
    </row>
    <row r="270" spans="1:4" ht="13.8">
      <c r="A270" s="266"/>
      <c r="B270" s="266"/>
      <c r="C270" s="266"/>
      <c r="D270" s="266"/>
    </row>
    <row r="271" spans="1:4" ht="13.8">
      <c r="A271" s="266"/>
      <c r="B271" s="266"/>
      <c r="C271" s="266"/>
      <c r="D271" s="266"/>
    </row>
    <row r="272" spans="1:4" ht="13.8">
      <c r="A272" s="266"/>
      <c r="B272" s="266"/>
      <c r="C272" s="266"/>
      <c r="D272" s="266"/>
    </row>
    <row r="273" spans="1:4" ht="24.6">
      <c r="A273" s="310"/>
      <c r="B273" s="303"/>
      <c r="C273" s="303"/>
      <c r="D273" s="303"/>
    </row>
    <row r="274" spans="1:4" ht="22.8">
      <c r="A274" s="311"/>
      <c r="B274" s="303"/>
      <c r="C274" s="303"/>
      <c r="D274" s="303"/>
    </row>
    <row r="275" spans="1:4" ht="22.8">
      <c r="A275" s="311"/>
      <c r="B275" s="303"/>
      <c r="C275" s="303"/>
      <c r="D275" s="303"/>
    </row>
    <row r="276" spans="1:4" ht="17.399999999999999">
      <c r="A276" s="278"/>
      <c r="B276" s="278"/>
      <c r="C276" s="278"/>
      <c r="D276" s="278"/>
    </row>
    <row r="277" spans="1:4" ht="13.8">
      <c r="A277" s="266"/>
      <c r="B277" s="266"/>
      <c r="C277" s="266"/>
      <c r="D277" s="266"/>
    </row>
    <row r="278" spans="1:4" ht="13.8">
      <c r="A278" s="266"/>
      <c r="B278" s="266"/>
      <c r="C278" s="266"/>
      <c r="D278" s="266"/>
    </row>
    <row r="279" spans="1:4" ht="13.8">
      <c r="A279" s="266"/>
      <c r="B279" s="266"/>
      <c r="C279" s="266"/>
      <c r="D279" s="266"/>
    </row>
    <row r="280" spans="1:4" ht="13.8">
      <c r="A280" s="266"/>
      <c r="B280" s="266"/>
      <c r="C280" s="266"/>
      <c r="D280" s="266"/>
    </row>
    <row r="281" spans="1:4" ht="13.8">
      <c r="A281" s="266"/>
      <c r="B281" s="266"/>
      <c r="C281" s="266"/>
      <c r="D281" s="266"/>
    </row>
    <row r="282" spans="1:4" ht="13.8">
      <c r="A282" s="266"/>
      <c r="B282" s="266"/>
      <c r="C282" s="266"/>
      <c r="D282" s="266"/>
    </row>
    <row r="283" spans="1:4" ht="24.6">
      <c r="A283" s="310"/>
      <c r="B283" s="303"/>
      <c r="C283" s="303"/>
      <c r="D283" s="303"/>
    </row>
    <row r="284" spans="1:4" ht="22.8">
      <c r="A284" s="311"/>
      <c r="B284" s="303"/>
      <c r="C284" s="303"/>
      <c r="D284" s="303"/>
    </row>
    <row r="285" spans="1:4" ht="22.8">
      <c r="A285" s="311"/>
      <c r="B285" s="303"/>
      <c r="C285" s="303"/>
      <c r="D285" s="303"/>
    </row>
    <row r="286" spans="1:4" ht="17.399999999999999">
      <c r="A286" s="278"/>
      <c r="B286" s="278"/>
      <c r="C286" s="278"/>
      <c r="D286" s="278"/>
    </row>
    <row r="287" spans="1:4" ht="13.8">
      <c r="A287" s="266"/>
      <c r="B287" s="266"/>
      <c r="C287" s="266"/>
      <c r="D287" s="266"/>
    </row>
    <row r="288" spans="1:4" ht="13.8">
      <c r="A288" s="266"/>
      <c r="B288" s="266"/>
      <c r="C288" s="266"/>
      <c r="D288" s="266"/>
    </row>
    <row r="289" spans="1:4" ht="13.8">
      <c r="A289" s="266"/>
      <c r="B289" s="266"/>
      <c r="C289" s="266"/>
      <c r="D289" s="266"/>
    </row>
    <row r="290" spans="1:4" ht="13.8">
      <c r="A290" s="266"/>
      <c r="B290" s="266"/>
      <c r="C290" s="266"/>
      <c r="D290" s="266"/>
    </row>
    <row r="291" spans="1:4" ht="13.8">
      <c r="A291" s="266"/>
      <c r="B291" s="266"/>
      <c r="C291" s="266"/>
      <c r="D291" s="266"/>
    </row>
    <row r="292" spans="1:4" ht="13.8">
      <c r="A292" s="266"/>
      <c r="B292" s="266"/>
      <c r="C292" s="266"/>
      <c r="D292" s="266"/>
    </row>
    <row r="293" spans="1:4" ht="24.6">
      <c r="A293" s="310"/>
      <c r="B293" s="303"/>
      <c r="C293" s="303"/>
      <c r="D293" s="303"/>
    </row>
    <row r="294" spans="1:4" ht="22.8">
      <c r="A294" s="311"/>
      <c r="B294" s="303"/>
      <c r="C294" s="303"/>
      <c r="D294" s="303"/>
    </row>
    <row r="295" spans="1:4" ht="22.8">
      <c r="A295" s="311"/>
      <c r="B295" s="303"/>
      <c r="C295" s="303"/>
      <c r="D295" s="303"/>
    </row>
    <row r="296" spans="1:4" ht="17.399999999999999">
      <c r="A296" s="278"/>
      <c r="B296" s="278"/>
      <c r="C296" s="278"/>
      <c r="D296" s="278"/>
    </row>
    <row r="297" spans="1:4" ht="13.8">
      <c r="A297" s="266"/>
      <c r="B297" s="266"/>
      <c r="C297" s="266"/>
      <c r="D297" s="266"/>
    </row>
    <row r="298" spans="1:4" ht="13.8">
      <c r="A298" s="266"/>
      <c r="B298" s="266"/>
      <c r="C298" s="266"/>
      <c r="D298" s="266"/>
    </row>
    <row r="299" spans="1:4" ht="13.8">
      <c r="A299" s="266"/>
      <c r="B299" s="266"/>
      <c r="C299" s="266"/>
      <c r="D299" s="266"/>
    </row>
    <row r="300" spans="1:4" ht="13.8">
      <c r="A300" s="266"/>
      <c r="B300" s="266"/>
      <c r="C300" s="266"/>
      <c r="D300" s="266"/>
    </row>
    <row r="301" spans="1:4" ht="13.8">
      <c r="A301" s="266"/>
      <c r="B301" s="266"/>
      <c r="C301" s="266"/>
      <c r="D301" s="266"/>
    </row>
  </sheetData>
  <mergeCells count="106">
    <mergeCell ref="A113:D113"/>
    <mergeCell ref="A114:D114"/>
    <mergeCell ref="A115:D115"/>
    <mergeCell ref="B116:C116"/>
    <mergeCell ref="B86:C86"/>
    <mergeCell ref="A93:D93"/>
    <mergeCell ref="A94:D94"/>
    <mergeCell ref="A95:D95"/>
    <mergeCell ref="B96:C96"/>
    <mergeCell ref="A103:D103"/>
    <mergeCell ref="A104:D104"/>
    <mergeCell ref="A105:D105"/>
    <mergeCell ref="B106:C106"/>
    <mergeCell ref="A65:D65"/>
    <mergeCell ref="B66:C66"/>
    <mergeCell ref="A73:D73"/>
    <mergeCell ref="A74:D74"/>
    <mergeCell ref="A75:D75"/>
    <mergeCell ref="B76:C76"/>
    <mergeCell ref="A83:D83"/>
    <mergeCell ref="A84:D84"/>
    <mergeCell ref="A85:D85"/>
    <mergeCell ref="A44:D44"/>
    <mergeCell ref="A45:D45"/>
    <mergeCell ref="B46:C46"/>
    <mergeCell ref="A53:D53"/>
    <mergeCell ref="A54:D54"/>
    <mergeCell ref="A55:D55"/>
    <mergeCell ref="B56:C56"/>
    <mergeCell ref="A63:D63"/>
    <mergeCell ref="A64:D64"/>
    <mergeCell ref="A23:D23"/>
    <mergeCell ref="A24:D24"/>
    <mergeCell ref="A25:D25"/>
    <mergeCell ref="B26:C26"/>
    <mergeCell ref="A33:D33"/>
    <mergeCell ref="A34:D34"/>
    <mergeCell ref="A35:D35"/>
    <mergeCell ref="B36:C36"/>
    <mergeCell ref="A43:D43"/>
    <mergeCell ref="A2:D2"/>
    <mergeCell ref="A3:D3"/>
    <mergeCell ref="A4:D4"/>
    <mergeCell ref="A5:D5"/>
    <mergeCell ref="B6:C6"/>
    <mergeCell ref="A13:D13"/>
    <mergeCell ref="A14:D14"/>
    <mergeCell ref="A15:D15"/>
    <mergeCell ref="B16:C16"/>
    <mergeCell ref="A284:D284"/>
    <mergeCell ref="A285:D285"/>
    <mergeCell ref="A293:D293"/>
    <mergeCell ref="A294:D294"/>
    <mergeCell ref="A295:D295"/>
    <mergeCell ref="A253:D253"/>
    <mergeCell ref="A254:D254"/>
    <mergeCell ref="A255:D255"/>
    <mergeCell ref="A263:D263"/>
    <mergeCell ref="A264:D264"/>
    <mergeCell ref="A265:D265"/>
    <mergeCell ref="A273:D273"/>
    <mergeCell ref="A233:D233"/>
    <mergeCell ref="A234:D234"/>
    <mergeCell ref="A235:D235"/>
    <mergeCell ref="A243:D243"/>
    <mergeCell ref="A244:D244"/>
    <mergeCell ref="A245:D245"/>
    <mergeCell ref="A274:D274"/>
    <mergeCell ref="A275:D275"/>
    <mergeCell ref="A283:D283"/>
    <mergeCell ref="A203:D203"/>
    <mergeCell ref="A204:D204"/>
    <mergeCell ref="A205:D205"/>
    <mergeCell ref="A213:D213"/>
    <mergeCell ref="A214:D214"/>
    <mergeCell ref="A215:D215"/>
    <mergeCell ref="A223:D223"/>
    <mergeCell ref="A224:D224"/>
    <mergeCell ref="A225:D225"/>
    <mergeCell ref="A173:D173"/>
    <mergeCell ref="A174:D174"/>
    <mergeCell ref="A175:D175"/>
    <mergeCell ref="A183:D183"/>
    <mergeCell ref="A184:D184"/>
    <mergeCell ref="A185:D185"/>
    <mergeCell ref="A193:D193"/>
    <mergeCell ref="A194:D194"/>
    <mergeCell ref="A195:D195"/>
    <mergeCell ref="A144:D144"/>
    <mergeCell ref="A145:D145"/>
    <mergeCell ref="B146:C146"/>
    <mergeCell ref="A153:D153"/>
    <mergeCell ref="A154:D154"/>
    <mergeCell ref="A155:D155"/>
    <mergeCell ref="A163:D163"/>
    <mergeCell ref="A164:D164"/>
    <mergeCell ref="A165:D165"/>
    <mergeCell ref="A123:D123"/>
    <mergeCell ref="A124:D124"/>
    <mergeCell ref="A125:D125"/>
    <mergeCell ref="B126:C126"/>
    <mergeCell ref="A133:D133"/>
    <mergeCell ref="A134:D134"/>
    <mergeCell ref="A135:D135"/>
    <mergeCell ref="B136:C136"/>
    <mergeCell ref="A143:D143"/>
  </mergeCells>
  <hyperlinks>
    <hyperlink ref="A6" r:id="rId1" xr:uid="{00000000-0004-0000-1700-000000000000}"/>
    <hyperlink ref="A16" r:id="rId2" xr:uid="{00000000-0004-0000-1700-000001000000}"/>
    <hyperlink ref="A26" r:id="rId3" xr:uid="{00000000-0004-0000-1700-000002000000}"/>
    <hyperlink ref="A36" r:id="rId4" xr:uid="{00000000-0004-0000-1700-000003000000}"/>
    <hyperlink ref="A46" r:id="rId5" xr:uid="{00000000-0004-0000-1700-000004000000}"/>
    <hyperlink ref="A56" r:id="rId6" xr:uid="{00000000-0004-0000-1700-000005000000}"/>
    <hyperlink ref="A66" r:id="rId7" xr:uid="{00000000-0004-0000-1700-000006000000}"/>
    <hyperlink ref="A76" r:id="rId8" xr:uid="{00000000-0004-0000-1700-000007000000}"/>
    <hyperlink ref="A86" r:id="rId9" xr:uid="{00000000-0004-0000-1700-000008000000}"/>
    <hyperlink ref="A96" r:id="rId10" xr:uid="{00000000-0004-0000-1700-000009000000}"/>
    <hyperlink ref="A106" r:id="rId11" xr:uid="{00000000-0004-0000-1700-00000A000000}"/>
    <hyperlink ref="A116" r:id="rId12" xr:uid="{00000000-0004-0000-1700-00000B000000}"/>
    <hyperlink ref="A126" r:id="rId13" xr:uid="{00000000-0004-0000-1700-00000C000000}"/>
    <hyperlink ref="A136" r:id="rId14" xr:uid="{00000000-0004-0000-1700-00000D000000}"/>
    <hyperlink ref="A146" r:id="rId15" xr:uid="{00000000-0004-0000-17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VEDITA</vt:lpstr>
      <vt:lpstr>NIKHIL G</vt:lpstr>
      <vt:lpstr>Rabiya KHAN</vt:lpstr>
      <vt:lpstr>Sheet29</vt:lpstr>
      <vt:lpstr>Isha Dubey</vt:lpstr>
      <vt:lpstr>Nisha Bhagat</vt:lpstr>
      <vt:lpstr>Pranjali Ramteke</vt:lpstr>
      <vt:lpstr>Sheet20</vt:lpstr>
      <vt:lpstr>RUCHITA</vt:lpstr>
      <vt:lpstr>Sheet12</vt:lpstr>
      <vt:lpstr>Sandesh</vt:lpstr>
      <vt:lpstr>Asmit Bhandarkar</vt:lpstr>
      <vt:lpstr>ATHARV</vt:lpstr>
      <vt:lpstr>Dhiraj Uppalwar</vt:lpstr>
      <vt:lpstr>Ishika bhisikar</vt:lpstr>
      <vt:lpstr>Ashish_Bonde</vt:lpstr>
      <vt:lpstr>Aniket Manvate</vt:lpstr>
      <vt:lpstr>SHWET_DOMDE</vt:lpstr>
      <vt:lpstr>Sheet3</vt:lpstr>
      <vt:lpstr>Divyani Ingle</vt:lpstr>
      <vt:lpstr>om ruikar</vt:lpstr>
      <vt:lpstr>Samruddhi Bhore</vt:lpstr>
      <vt:lpstr>Ayush_Mendhe</vt:lpstr>
      <vt:lpstr>SANSKRUTI A. DHOLE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 Dhiru..</cp:lastModifiedBy>
  <dcterms:modified xsi:type="dcterms:W3CDTF">2026-03-08T16:20:53Z</dcterms:modified>
</cp:coreProperties>
</file>